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  <sheet name="Sheet2" sheetId="2" r:id="rId2"/>
    <sheet name="Sheet3" sheetId="3" r:id="rId3"/>
  </sheets>
  <calcPr calcId="144525" iterate="1" iterateCount="100" iterateDelta="0.001"/>
</workbook>
</file>

<file path=xl/sharedStrings.xml><?xml version="1.0" encoding="utf-8"?>
<sst xmlns="http://schemas.openxmlformats.org/spreadsheetml/2006/main" count="802" uniqueCount="538">
  <si>
    <t>code0</t>
  </si>
  <si>
    <t>CO0_KROROBOT</t>
  </si>
  <si>
    <t>0x01</t>
  </si>
  <si>
    <t>韩国机械手</t>
  </si>
  <si>
    <t>CO0_BMC</t>
  </si>
  <si>
    <t>0x02</t>
  </si>
  <si>
    <t>BMC机 可使用储料加压</t>
  </si>
  <si>
    <t>CO0_SERVOP</t>
  </si>
  <si>
    <t>0x04</t>
  </si>
  <si>
    <t>使用电脑PID</t>
  </si>
  <si>
    <t>CO0_ADJZX</t>
  </si>
  <si>
    <t>0x08</t>
  </si>
  <si>
    <t>位置调模(震雄调模)</t>
  </si>
  <si>
    <t>CO0_DHYD</t>
  </si>
  <si>
    <t>0x10</t>
  </si>
  <si>
    <t>CO0_MSNAG</t>
  </si>
  <si>
    <t>0x20</t>
  </si>
  <si>
    <t>机械安全检知反逻辑</t>
  </si>
  <si>
    <t>CO0_CMPW</t>
  </si>
  <si>
    <t>0x40</t>
  </si>
  <si>
    <t>开关模计时警报使用。</t>
  </si>
  <si>
    <t>CO0_FLWDOT</t>
  </si>
  <si>
    <t>0x80</t>
  </si>
  <si>
    <t>调模位置比3位小数点</t>
  </si>
  <si>
    <t>CO0_SDRL</t>
  </si>
  <si>
    <t>0x100</t>
  </si>
  <si>
    <t>安全门检测反逻辑。</t>
  </si>
  <si>
    <t>CO0_OFFM</t>
  </si>
  <si>
    <t>0x200</t>
  </si>
  <si>
    <t>不检测机械手信号翻转检测（0103版开始反逻辑了）</t>
  </si>
  <si>
    <t>CO0_RSDL</t>
  </si>
  <si>
    <t>0x400</t>
  </si>
  <si>
    <t>後安全门检测反逻辑。</t>
  </si>
  <si>
    <t>CO0_FSAD</t>
  </si>
  <si>
    <t>0x800</t>
  </si>
  <si>
    <t>手动调模进不检查安全门。</t>
  </si>
  <si>
    <t>CO0_EJTDLY</t>
  </si>
  <si>
    <t>0x1000</t>
  </si>
  <si>
    <t>（博纳）托模阀延迟开</t>
  </si>
  <si>
    <t>CO0_EJTDOT</t>
  </si>
  <si>
    <t>0x2000</t>
  </si>
  <si>
    <t>震动托模动作前延时</t>
  </si>
  <si>
    <t>CO0_EJTB</t>
  </si>
  <si>
    <t>0x4000</t>
  </si>
  <si>
    <t>关模时，亦开脱退阀。(关模起始段开脱退阀)(智能关模无效)</t>
  </si>
  <si>
    <t>CO0_ATSD</t>
  </si>
  <si>
    <t>0x8000</t>
  </si>
  <si>
    <t>自动安全门使用点动模式。</t>
  </si>
  <si>
    <t>code1</t>
  </si>
  <si>
    <t>CO1_CPSR</t>
  </si>
  <si>
    <t>射出监控失败开模完停机</t>
  </si>
  <si>
    <t>CO1_CYLW</t>
  </si>
  <si>
    <t>全程计时警报包含关安全门时间</t>
  </si>
  <si>
    <t>CO1_ECAT</t>
  </si>
  <si>
    <t>使用EtherCat通讯控制</t>
  </si>
  <si>
    <t>CO1_INTM</t>
  </si>
  <si>
    <t>射出时间可设到0.001S。</t>
  </si>
  <si>
    <t>CO1_INJF</t>
  </si>
  <si>
    <t>射出快速阀，只在射出二打开;</t>
  </si>
  <si>
    <t>CO1_SAAL</t>
  </si>
  <si>
    <t>快速注射</t>
  </si>
  <si>
    <t>CO1_MCNS</t>
  </si>
  <si>
    <t>手动储料不做射退。</t>
  </si>
  <si>
    <t>CO1_CHGE</t>
  </si>
  <si>
    <t>(代码无效)使用电储料</t>
  </si>
  <si>
    <t>CO1_OPDC</t>
  </si>
  <si>
    <t>储料开模联动。</t>
  </si>
  <si>
    <t>CO1_CLSH</t>
  </si>
  <si>
    <t>CO1_LUBW</t>
  </si>
  <si>
    <t>手动润滑输出警报。</t>
  </si>
  <si>
    <t>CO1_OPLT</t>
  </si>
  <si>
    <t>开模一慢阀使用时间切</t>
  </si>
  <si>
    <t>CO1_OPLU</t>
  </si>
  <si>
    <t>开模一慢阀使用差动阀</t>
  </si>
  <si>
    <t>CO1_SOEC</t>
  </si>
  <si>
    <t>开模与脱模/中子联动动作。</t>
  </si>
  <si>
    <t>CO1_OIL</t>
  </si>
  <si>
    <t>油温偏差开警报并切马达。</t>
  </si>
  <si>
    <t>CO1_EMERG</t>
  </si>
  <si>
    <t>按下紧急开关键,不停止温度工作。</t>
  </si>
  <si>
    <t>code2</t>
  </si>
  <si>
    <t>CO2_ICURINJEND</t>
  </si>
  <si>
    <t>射出监控使用残料位置</t>
  </si>
  <si>
    <t>CO2_EJTM</t>
  </si>
  <si>
    <t>关模途中安全门</t>
  </si>
  <si>
    <t>CO2_INJCLS</t>
  </si>
  <si>
    <t>可用压塑动作。</t>
  </si>
  <si>
    <t>CO2_ICUR</t>
  </si>
  <si>
    <t>射出检控使用射出4固定位置</t>
  </si>
  <si>
    <t>CO2_OPNSM</t>
  </si>
  <si>
    <t>CO2_CSTP</t>
  </si>
  <si>
    <t>自动状态时关模开安全门,关模动作停止</t>
  </si>
  <si>
    <t>CO2_ULTL</t>
  </si>
  <si>
    <t>差动阀开到高压止。</t>
  </si>
  <si>
    <t>CO2_UPCV</t>
  </si>
  <si>
    <t>半自动转全自动不需开关安全门</t>
  </si>
  <si>
    <t>CO2_INCE</t>
  </si>
  <si>
    <t>射出时，检查关模终。</t>
  </si>
  <si>
    <t>CO2_MIDT</t>
  </si>
  <si>
    <t>半自动时, 再次关模前使用再次循环计时</t>
  </si>
  <si>
    <t>CO2_CLSLOW</t>
  </si>
  <si>
    <t>关模低压阀使用选择开关。</t>
  </si>
  <si>
    <t>CO2_INJCHG</t>
  </si>
  <si>
    <t>射出时开储料背压阀功能</t>
  </si>
  <si>
    <t>CO2_HPEM</t>
  </si>
  <si>
    <t>储料未定时完成,停在开模前</t>
  </si>
  <si>
    <t>CO2_CHGBK</t>
  </si>
  <si>
    <t>使用储料背压比例。</t>
  </si>
  <si>
    <t>CO2_CHGX</t>
  </si>
  <si>
    <t>自动清料使用单独压力流量</t>
  </si>
  <si>
    <t>CO2_SAVC1</t>
  </si>
  <si>
    <t>射出监控位置不采用偏差方式</t>
  </si>
  <si>
    <t>code3</t>
  </si>
  <si>
    <t>CO3_NFMI</t>
  </si>
  <si>
    <t>挡板部件使用，刚开机时请求数据，否则不请求，防止报警面板数据不全</t>
  </si>
  <si>
    <t>CO3_TBEM</t>
  </si>
  <si>
    <t>手动座退不确认位置停止。</t>
  </si>
  <si>
    <t>CO3_LUBC</t>
  </si>
  <si>
    <t>润滑油位检测反逻辑 0=ERROR，1=OK。</t>
  </si>
  <si>
    <t>CO3_SDRP</t>
  </si>
  <si>
    <t>自动安全门关遇到保护使作开门动作。</t>
  </si>
  <si>
    <t>CO3_MAIR</t>
  </si>
  <si>
    <t>手动时开模输出吹气。</t>
  </si>
  <si>
    <t>CO3_NFOF</t>
  </si>
  <si>
    <t>自动射出完关闭座进阀。</t>
  </si>
  <si>
    <t>CO3_STEN</t>
  </si>
  <si>
    <t>储能时不开比例阀。</t>
  </si>
  <si>
    <t>CO3_SDAM</t>
  </si>
  <si>
    <t>脱模后安全门未开警报</t>
  </si>
  <si>
    <t>CO3_BAKE</t>
  </si>
  <si>
    <t>可使用排气功能。</t>
  </si>
  <si>
    <t>CO3_HYPD</t>
  </si>
  <si>
    <t>使用油压安全门。</t>
  </si>
  <si>
    <t>CO3_WSTO</t>
  </si>
  <si>
    <t>动作启动段使用。（注射、射退）</t>
  </si>
  <si>
    <t>CO3_PWRM</t>
  </si>
  <si>
    <t>配阀功能不使用</t>
  </si>
  <si>
    <t>CO3_AIRM</t>
  </si>
  <si>
    <t>吹气使用模式选择。</t>
  </si>
  <si>
    <t>CO3_TSTO</t>
  </si>
  <si>
    <t>开合模电子尺均值滤波功能。</t>
  </si>
  <si>
    <t>CO3_TNOZ</t>
  </si>
  <si>
    <t>座台使用时间。</t>
  </si>
  <si>
    <t>CO3_SDRT</t>
  </si>
  <si>
    <t>code4</t>
  </si>
  <si>
    <t>CO4_USSS</t>
  </si>
  <si>
    <t>美规安全门动作。安全门开切到手动</t>
  </si>
  <si>
    <t>CO4_SAF2</t>
  </si>
  <si>
    <t>CO4_SRAU</t>
  </si>
  <si>
    <t>开马达前检测油温</t>
  </si>
  <si>
    <t>CO4_QDC</t>
  </si>
  <si>
    <t>CO4_MOTOR</t>
  </si>
  <si>
    <t>CO4_MEJT</t>
  </si>
  <si>
    <t>CO4_MOTR</t>
  </si>
  <si>
    <t>马达开输出点保持常开。</t>
  </si>
  <si>
    <t>CO4_PWDR</t>
  </si>
  <si>
    <t>使用自动安全门。</t>
  </si>
  <si>
    <t>CO4_CACE</t>
  </si>
  <si>
    <t>座台进须确认关模终。</t>
  </si>
  <si>
    <t>CO4_INOF</t>
  </si>
  <si>
    <t>射出完先切压力比例 (RAMP DOWN AIBFTD)，再切流量比例，而後关阀。</t>
  </si>
  <si>
    <t>CO4_NCKY</t>
  </si>
  <si>
    <t>关摸高压保持计时使用两个小数点</t>
  </si>
  <si>
    <t>CO4_CKEY</t>
  </si>
  <si>
    <t>动作运行前启动键</t>
  </si>
  <si>
    <t>CO4_APHP</t>
  </si>
  <si>
    <t>射出保压时，背压通道口输出最大值</t>
  </si>
  <si>
    <t>CO4_APUG</t>
  </si>
  <si>
    <t>调模开关模执行标准途中中子，联动中子</t>
  </si>
  <si>
    <t>CO4_INPG</t>
  </si>
  <si>
    <t>座进前先做射出清料动作。</t>
  </si>
  <si>
    <t>CO4_ISOF</t>
  </si>
  <si>
    <t>半自动每模按运行键</t>
  </si>
  <si>
    <t>code5</t>
  </si>
  <si>
    <t>CO5_INJET</t>
  </si>
  <si>
    <t>注射时间上传</t>
  </si>
  <si>
    <t>CO5_INGEJT</t>
  </si>
  <si>
    <t>CO5_SAFEDR</t>
  </si>
  <si>
    <t>脱模时不检测安全门</t>
  </si>
  <si>
    <t>CO5_DORMEC</t>
  </si>
  <si>
    <t>机械安全检知,作为下一循环判断条件</t>
  </si>
  <si>
    <t>CO5_CORE</t>
  </si>
  <si>
    <t>CO5_SERVOERR</t>
  </si>
  <si>
    <t>CO5_LUBBFCLS</t>
  </si>
  <si>
    <t>如果上次润滑失败，在自动前重新检测润滑</t>
  </si>
  <si>
    <t>CO5_INJCHADA</t>
  </si>
  <si>
    <t>动作开环（射出开环、保压开环、储料开环、托模开环）</t>
  </si>
  <si>
    <t>CO5_INJFLACC</t>
  </si>
  <si>
    <t>射出流量一位小数</t>
  </si>
  <si>
    <t>CO5_ADJMOLD</t>
  </si>
  <si>
    <t>松模问题的自动调模</t>
  </si>
  <si>
    <t>CO5_YXBIG</t>
  </si>
  <si>
    <t>阳鑫大机，背压阀、泄压阀、背压的输出时间点不一样</t>
  </si>
  <si>
    <t>CO5_SAFEDRCTL</t>
  </si>
  <si>
    <t>门机控制器故障报警时关马达</t>
  </si>
  <si>
    <t>CO5_BAPRSACC</t>
  </si>
  <si>
    <t>背压压力一位小数点</t>
  </si>
  <si>
    <t>CO5_LUBERTWI</t>
  </si>
  <si>
    <t>润滑检知连续出错两次报警</t>
  </si>
  <si>
    <t>CO5_SDRVALVE</t>
  </si>
  <si>
    <t>安全阀检测功能</t>
  </si>
  <si>
    <t>CO5_REMOVE_NEWHYDR</t>
  </si>
  <si>
    <t>code43</t>
  </si>
  <si>
    <t>CO43_EJEPRE</t>
  </si>
  <si>
    <t>CO43_CHARGE</t>
  </si>
  <si>
    <t>储料时开射出阀</t>
  </si>
  <si>
    <t>CO43_INJPRE</t>
  </si>
  <si>
    <t>CO43_INJHOD</t>
  </si>
  <si>
    <t>残料位置取整个注射保压过程的最小值</t>
  </si>
  <si>
    <t>CO43_CHAEJT</t>
  </si>
  <si>
    <t>接收面板发送的手动键值，并切手动</t>
  </si>
  <si>
    <t>CO43_ROTLAC</t>
  </si>
  <si>
    <t>使用转模功能。</t>
  </si>
  <si>
    <t>CO43_BLAST</t>
  </si>
  <si>
    <t>射出顺序阀使用</t>
  </si>
  <si>
    <t>CO43_PfRamp</t>
  </si>
  <si>
    <t>斜率走老系统模式(第四版增加)</t>
  </si>
  <si>
    <t>CO43_CORE</t>
  </si>
  <si>
    <t>能耗表数据通过can获得</t>
  </si>
  <si>
    <t>CO43_IINJ</t>
  </si>
  <si>
    <t>CO43_MODE5CLS</t>
  </si>
  <si>
    <t>CO43_CAN2EXT</t>
  </si>
  <si>
    <t>扩展板使用CAN2</t>
  </si>
  <si>
    <t>CO43_RSV1</t>
  </si>
  <si>
    <t>10倍输入点滤波</t>
  </si>
  <si>
    <t>CO43_RSV</t>
  </si>
  <si>
    <t>注射转保压时间模式时，位置到也转保压</t>
  </si>
  <si>
    <t>CO43_UTVLV</t>
  </si>
  <si>
    <t>关模快速时，在差动和低压时开差动阀</t>
  </si>
  <si>
    <t>CO43_FASTCL</t>
  </si>
  <si>
    <t>关模快速开至低压</t>
  </si>
  <si>
    <t>code16</t>
  </si>
  <si>
    <t>CO32_DRVEXE</t>
  </si>
  <si>
    <t>CO32_PUMPS</t>
  </si>
  <si>
    <t>CO32_SERSORS</t>
  </si>
  <si>
    <t>CO32_ACTSMU</t>
  </si>
  <si>
    <t>CO32_NOSEND</t>
  </si>
  <si>
    <t>CO32_CORESAME</t>
  </si>
  <si>
    <t>CO32_RSV</t>
  </si>
  <si>
    <t>code48</t>
  </si>
  <si>
    <t>XF0_PRESDIS</t>
  </si>
  <si>
    <t>显示报警"压力未小于5bar，无法切成主机"</t>
  </si>
  <si>
    <t>XF0_EJTTM</t>
  </si>
  <si>
    <t>脱模使用时间。</t>
  </si>
  <si>
    <t>XF0_SAFED</t>
  </si>
  <si>
    <t>特殊安全阀输出</t>
  </si>
  <si>
    <t>XF0_MLATX</t>
  </si>
  <si>
    <t>安全门检测时间固定为50ms，同时面板灰掉</t>
  </si>
  <si>
    <t>XF0_CPRNH</t>
  </si>
  <si>
    <t>机械手急停反逻辑</t>
  </si>
  <si>
    <t>XF0_RELBP</t>
  </si>
  <si>
    <t>半自动首次脱进不检查安全门</t>
  </si>
  <si>
    <t>XF0_UTVLV</t>
  </si>
  <si>
    <t>使用差装阀逻辑。</t>
  </si>
  <si>
    <t>XF0_CLSEB</t>
  </si>
  <si>
    <t>为了兼容老面板，打上代码时，去除射出模式选择时间/位置时，转保压位置依旧有效的功能</t>
  </si>
  <si>
    <t>XF0_AUTOARMOD</t>
  </si>
  <si>
    <t>自动警报使用老系统模式</t>
  </si>
  <si>
    <t>XF0_ADJLU</t>
  </si>
  <si>
    <t>自动警报重新开始不强制过滤三模</t>
  </si>
  <si>
    <t>XF0_RELSP</t>
  </si>
  <si>
    <t>XF0_EJTHOLD</t>
  </si>
  <si>
    <t>顶进保持功能</t>
  </si>
  <si>
    <t>XF0_ACCFL</t>
  </si>
  <si>
    <t>温度部分使用e502扩展板采集(3100)</t>
  </si>
  <si>
    <t>XF0_SYSACC</t>
  </si>
  <si>
    <t xml:space="preserve">使用系统蓄能 </t>
  </si>
  <si>
    <t>XF0_BACRL</t>
  </si>
  <si>
    <t>使用最小时间保护机械手。（完整开模0.5s，途中机械手0.3s）</t>
  </si>
  <si>
    <t>XF0_REMERG</t>
  </si>
  <si>
    <t>紧急停止反逻辑。</t>
  </si>
  <si>
    <t>code49</t>
  </si>
  <si>
    <t>XF1_HTMT</t>
  </si>
  <si>
    <t>使用外部使能</t>
  </si>
  <si>
    <t>XF1_EJTNH</t>
  </si>
  <si>
    <t>AI开模算法40mm间隔（原20mm）</t>
  </si>
  <si>
    <t>XF1_NOBCK</t>
  </si>
  <si>
    <t>动作缓存在下个循环时生效(原为当前动作结束后生效)。</t>
  </si>
  <si>
    <t>XF1_CHRCP</t>
  </si>
  <si>
    <t>XF1_MLTHYD</t>
  </si>
  <si>
    <t>XF1_CLPZE</t>
  </si>
  <si>
    <t>自动调模开模100mm。</t>
  </si>
  <si>
    <t>XF1_HTMHYD</t>
  </si>
  <si>
    <t>海太双油路。</t>
  </si>
  <si>
    <t>XF1_INJST</t>
  </si>
  <si>
    <t>射出储能，使用压力传感器。</t>
  </si>
  <si>
    <t>XF1_SOSLT</t>
  </si>
  <si>
    <t>XF1_SOSLS</t>
  </si>
  <si>
    <t>安全门慢速阀使用时间切。</t>
  </si>
  <si>
    <t>XF1_NMV</t>
  </si>
  <si>
    <t>耐训二油路阀输出</t>
  </si>
  <si>
    <t>XF1_HTDHP</t>
  </si>
  <si>
    <t>XF1_CPRS4</t>
  </si>
  <si>
    <t>XF1_CHRLT</t>
  </si>
  <si>
    <t>不使用开关模手动放开平滑功能</t>
  </si>
  <si>
    <t>XF1_SORCP</t>
  </si>
  <si>
    <t>不使用电眼跳变检测物料满</t>
  </si>
  <si>
    <t>XF1_ROBD</t>
  </si>
  <si>
    <t>关模不使用油缸算法</t>
  </si>
  <si>
    <t>code50</t>
  </si>
  <si>
    <t>XF2_RELOP</t>
  </si>
  <si>
    <t>面板使用，主要用于通用韩国机，用于区分射出监控正负号显示</t>
  </si>
  <si>
    <t>XF2_ADLRV</t>
  </si>
  <si>
    <t>自动警报按手动键清除，并重新计算</t>
  </si>
  <si>
    <t>XF2_CPRBA</t>
  </si>
  <si>
    <t>手动调模进退，自动调模检测脱模，中子</t>
  </si>
  <si>
    <t>XF2_SDRTF</t>
  </si>
  <si>
    <t>XF2_ROPNM</t>
  </si>
  <si>
    <t>手动状态下，上一个动作的阀未完全关闭的状态，不允许做其他动作</t>
  </si>
  <si>
    <t>XF2_SLBHI</t>
  </si>
  <si>
    <t>手动射出使用调模压力流量参数开放</t>
  </si>
  <si>
    <t>XF2_RSNOM</t>
  </si>
  <si>
    <t>关闭自动停留超30s切手动功能</t>
  </si>
  <si>
    <t>XF2_SOECH</t>
  </si>
  <si>
    <t>开环走储料被压通道</t>
  </si>
  <si>
    <t>XF2_COFST</t>
  </si>
  <si>
    <t>开模减速使用大斜坡（油缸算法）</t>
  </si>
  <si>
    <t>XF2_RELCL</t>
  </si>
  <si>
    <t>料筒等比例加温时显示温度</t>
  </si>
  <si>
    <t>XF2_INSH2</t>
  </si>
  <si>
    <t>XF2_DPUMP</t>
  </si>
  <si>
    <t>中子使用优先级功能</t>
  </si>
  <si>
    <t>XF2_SUCWO</t>
  </si>
  <si>
    <t>自动托模检测安全门，手动托模不检测安全门</t>
  </si>
  <si>
    <t>XF2_OPNBK</t>
  </si>
  <si>
    <t>甬江机器，关模位置吹气时，打开后直接在射出保压结束关闭</t>
  </si>
  <si>
    <t>XF2_SOECR</t>
  </si>
  <si>
    <t>开模AI记忆</t>
  </si>
  <si>
    <t>XF2_SUCKM</t>
  </si>
  <si>
    <t>关模减速使用大斜坡</t>
  </si>
  <si>
    <t>code51</t>
  </si>
  <si>
    <t>XF3_CPRSP</t>
  </si>
  <si>
    <t>更改动作方式在下一模生效</t>
  </si>
  <si>
    <t>XF3_CPRSS</t>
  </si>
  <si>
    <t>XF3_COLOF</t>
  </si>
  <si>
    <t>关模任意段开始，都开0.5s脱退阀</t>
  </si>
  <si>
    <t>XF3_EJTVB</t>
  </si>
  <si>
    <t>脱膜次数打0时，关模时开脱退阀</t>
  </si>
  <si>
    <t>XF3_RSDFM</t>
  </si>
  <si>
    <t>後安全门开, 开关模时切马达。</t>
  </si>
  <si>
    <t>XF3_RSDMA</t>
  </si>
  <si>
    <t>後安全门开, 不切马达, 但转手动</t>
  </si>
  <si>
    <t>XF3_MSTOR</t>
  </si>
  <si>
    <t>射出开环高低流量校正功能（甬华特殊功能）</t>
  </si>
  <si>
    <t>XF3_SPSTO</t>
  </si>
  <si>
    <t>全自动可以脱模停留功能</t>
  </si>
  <si>
    <t>XF3_YWSTO</t>
  </si>
  <si>
    <t>通讯模式下同步输出模拟量</t>
  </si>
  <si>
    <t>XF3_LHACC</t>
  </si>
  <si>
    <t>关模异常导致的异常开模不做吹气动作</t>
  </si>
  <si>
    <t>XF3_SHFST</t>
  </si>
  <si>
    <t>声海快速机。</t>
  </si>
  <si>
    <t>XF3_HS7HT</t>
  </si>
  <si>
    <t>开模时检测检出电眼</t>
  </si>
  <si>
    <t>XF3_SHUT2</t>
  </si>
  <si>
    <t>关摸前检测安全门故障</t>
  </si>
  <si>
    <t>XF3_CLSLL</t>
  </si>
  <si>
    <t>关摸低压计时实时显示功能</t>
  </si>
  <si>
    <t>XF3_ADFRS</t>
  </si>
  <si>
    <t>电眼信号首次无效，再做一次脱模，再次检测电眼信号</t>
  </si>
  <si>
    <t>XF3_EUROB</t>
  </si>
  <si>
    <t>安全阀输出反逻辑</t>
  </si>
  <si>
    <t>code52</t>
  </si>
  <si>
    <t>XF4_OILT</t>
  </si>
  <si>
    <t>XF4_INJSV</t>
  </si>
  <si>
    <t>XF4_OILVL</t>
  </si>
  <si>
    <t>储料不开座进阀</t>
  </si>
  <si>
    <t>XF4_ISTOR</t>
  </si>
  <si>
    <t>XF4_OPNRL</t>
  </si>
  <si>
    <t>机械手输出过程中不检测开合模位置（开模位置异常，停止机械手）</t>
  </si>
  <si>
    <t>XF4_OLNOM</t>
  </si>
  <si>
    <t>面板使用，无推力座时，印度客户Ton与高压压力的转化   给面板使用</t>
  </si>
  <si>
    <t>XF4_SAFA</t>
  </si>
  <si>
    <t>XF4_SAVC2</t>
  </si>
  <si>
    <t>可变抬头状态。（注射、模座）</t>
  </si>
  <si>
    <t>XF4_AACNT</t>
  </si>
  <si>
    <t>数据监控功能使用</t>
  </si>
  <si>
    <t>XF4_SANOM</t>
  </si>
  <si>
    <t>驱动器欠压故障屏蔽</t>
  </si>
  <si>
    <t>XF4_MIST</t>
  </si>
  <si>
    <t>定次时，托模进后保持功能</t>
  </si>
  <si>
    <t>XF4_OHNOM</t>
  </si>
  <si>
    <t>开环动作时，其它动作模拟量输出0</t>
  </si>
  <si>
    <t>XF4_ADJUP</t>
  </si>
  <si>
    <t>不使用温度实时监测超过设定度数报警功能</t>
  </si>
  <si>
    <t>XF4_AAOE</t>
  </si>
  <si>
    <t>AO4通道走AO3输出，AO4不输出</t>
  </si>
  <si>
    <t>XF4_BAKNF</t>
  </si>
  <si>
    <t>开模时光幕检测</t>
  </si>
  <si>
    <t>XF4_CPRSN</t>
  </si>
  <si>
    <t>托模时光幕检测</t>
  </si>
  <si>
    <t>code53</t>
  </si>
  <si>
    <t>XF5_A500CHR</t>
  </si>
  <si>
    <t>XF5_LUBJM</t>
  </si>
  <si>
    <t>XF5_SBTPUMPS</t>
  </si>
  <si>
    <t>托模前不检测托模退是否到位，可以直接托模进</t>
  </si>
  <si>
    <t>XF5_SFSENCTL</t>
  </si>
  <si>
    <t>不使用警报详细信息上传</t>
  </si>
  <si>
    <t>XF5_PUMP1</t>
  </si>
  <si>
    <t>伺服泄压反逻辑</t>
  </si>
  <si>
    <t>XF5_INJTM</t>
  </si>
  <si>
    <t>XF5_RSV</t>
  </si>
  <si>
    <t>调模使用时，射退不受电子尺和限位开关限制</t>
  </si>
  <si>
    <t>XF5_CLAMPCLS</t>
  </si>
  <si>
    <t>调模使用时，开关模不受电子尺和限位开关限制</t>
  </si>
  <si>
    <t>XF5_INJMUTL</t>
  </si>
  <si>
    <t>调模使用时，储料不受电子尺和限位开关限制</t>
  </si>
  <si>
    <t>XF5_EJENCTL</t>
  </si>
  <si>
    <t>调模使用时，托模不受电子尺和限位开关限制</t>
  </si>
  <si>
    <t>XF5_INJBCHR</t>
  </si>
  <si>
    <t>注射前储料：关模后-&gt;挡板进-&gt;储料-&gt;挡板退-&gt;射出-&gt;开模。 必须同时使用CO4_ISOF</t>
  </si>
  <si>
    <t>XF5_LUBEMRG</t>
  </si>
  <si>
    <t>润滑检知失败切电机，同reset。</t>
  </si>
  <si>
    <t>XF5_SAFEH2</t>
  </si>
  <si>
    <t>安全门使用第二油路。</t>
  </si>
  <si>
    <t>XF5_TSENS</t>
  </si>
  <si>
    <t>XF5_DHMAN</t>
  </si>
  <si>
    <t>警报状态实时上传</t>
  </si>
  <si>
    <t>XF5_MSENS</t>
  </si>
  <si>
    <t>使用多电眼。</t>
  </si>
  <si>
    <t>code54</t>
  </si>
  <si>
    <t>XF6_EFFC</t>
  </si>
  <si>
    <t>开马达初始化Ecat(关马达断强电)</t>
  </si>
  <si>
    <t>XF6_OILVL</t>
  </si>
  <si>
    <t>托模前不检测中子退终</t>
  </si>
  <si>
    <t>XF6_CHKMR</t>
  </si>
  <si>
    <t>检出电眼反逻辑。</t>
  </si>
  <si>
    <t>XF6_INJCLS</t>
  </si>
  <si>
    <t>射出时开关模阀(自动)。</t>
  </si>
  <si>
    <t>XF6_HYDFRQ</t>
  </si>
  <si>
    <t>中子进前不检测托退终</t>
  </si>
  <si>
    <t>XF6_HSERV0</t>
  </si>
  <si>
    <t>使用伺服驱动。</t>
  </si>
  <si>
    <t>XF6_NOOIL</t>
  </si>
  <si>
    <t>使用中子顺序检测功能</t>
  </si>
  <si>
    <t>XF6_INJDBL</t>
  </si>
  <si>
    <t>可使用二次射出，即射出前做 储料动作</t>
  </si>
  <si>
    <t>XF6_HTPRER</t>
  </si>
  <si>
    <t>XF6_EXTIO</t>
  </si>
  <si>
    <t>使用扩展IO。</t>
  </si>
  <si>
    <t>XF6_EXTTEMP</t>
  </si>
  <si>
    <t>XF6_EXTDA</t>
  </si>
  <si>
    <t>使用扩展ADDA。</t>
  </si>
  <si>
    <t>XF6_CANSRV</t>
  </si>
  <si>
    <t>使用CAN SERVO。</t>
  </si>
  <si>
    <t>XF6_EXTIO2</t>
  </si>
  <si>
    <t>使用第二块扩展IO。</t>
  </si>
  <si>
    <t>XF6_EXTE301IO</t>
  </si>
  <si>
    <t>XF6_EXT301TEMP</t>
  </si>
  <si>
    <t>油路控制</t>
  </si>
  <si>
    <t>CO8_YL1</t>
  </si>
  <si>
    <t>泄压速度可以设定10%以下。</t>
  </si>
  <si>
    <t>CO8_YL2</t>
  </si>
  <si>
    <t>CO8_YL3</t>
  </si>
  <si>
    <t>定位算法使用电子尺速度计算</t>
  </si>
  <si>
    <t>CO8_YL4</t>
  </si>
  <si>
    <t>DA线性调整使用0~10.000V方式</t>
  </si>
  <si>
    <t>CO8_LINE</t>
  </si>
  <si>
    <t>DA线性含底流</t>
  </si>
  <si>
    <t>CO8_ALONPID</t>
  </si>
  <si>
    <t>C08_MCHAR</t>
  </si>
  <si>
    <t>关闭自动恢复使能功能</t>
  </si>
  <si>
    <t>C08_MEJEC</t>
  </si>
  <si>
    <t>油路油压传感器类型独立</t>
  </si>
  <si>
    <t>C08_MCORE</t>
  </si>
  <si>
    <t>C08_MANUAL</t>
  </si>
  <si>
    <t>手动状态能做同时动作</t>
  </si>
  <si>
    <t>C08_MSAME</t>
  </si>
  <si>
    <t>C08_MSERVO</t>
  </si>
  <si>
    <t>C08_NEWHYD</t>
  </si>
  <si>
    <t>从泵独立泄压功能</t>
  </si>
  <si>
    <t>CO8_OILVLV</t>
  </si>
  <si>
    <t>CO8_FLPMP</t>
  </si>
  <si>
    <t>CO8_FLLMT</t>
  </si>
  <si>
    <t>使用配置编码对接驱动器</t>
  </si>
  <si>
    <t>温度控制</t>
  </si>
  <si>
    <t>CO9_HSEL</t>
  </si>
  <si>
    <t>CO9_TKTJ</t>
  </si>
  <si>
    <t>感温线使用'K'TYPE  1: 感温线使用'J'</t>
  </si>
  <si>
    <t>CO9_DCDF</t>
  </si>
  <si>
    <t>油温使用板载室温</t>
  </si>
  <si>
    <t>CO9_TEMPMTI</t>
  </si>
  <si>
    <t>CO9_XIND</t>
  </si>
  <si>
    <t>外部室温接线(IV3100)</t>
  </si>
  <si>
    <t>CO9_HIGH</t>
  </si>
  <si>
    <t>CO9_PIDS</t>
  </si>
  <si>
    <t>CO9_RSV1</t>
  </si>
  <si>
    <t>CO9_FAST</t>
  </si>
  <si>
    <t>CO9_RSV2</t>
  </si>
  <si>
    <t>CO9_TIP</t>
  </si>
  <si>
    <t>每次加热自学习PID</t>
  </si>
  <si>
    <t>CO9_RSV3</t>
  </si>
  <si>
    <t>关闭PID自学习及缓冲区自学习功能</t>
  </si>
  <si>
    <t>CO9_Z4_5</t>
  </si>
  <si>
    <t>CO9_FUZZY</t>
  </si>
  <si>
    <t>CO9_HSNEW</t>
  </si>
  <si>
    <t>CO9_TEMPMD</t>
  </si>
  <si>
    <t>电子尺控制</t>
  </si>
  <si>
    <t>COA_SENSOR</t>
  </si>
  <si>
    <t>COA_SENSOR2</t>
  </si>
  <si>
    <t>COA_CHL4N</t>
  </si>
  <si>
    <t>座台使用电子尺</t>
  </si>
  <si>
    <t>COA_ERTYPE</t>
  </si>
  <si>
    <t>COA_CHL3</t>
  </si>
  <si>
    <t>COA_CHL4C</t>
  </si>
  <si>
    <t>关闭开合模电子尺断开保护的报警提醒(仅保护)。</t>
  </si>
  <si>
    <t>COA_CHL4</t>
  </si>
  <si>
    <t>关闭开合模电子尺断开保护功能</t>
  </si>
  <si>
    <t>COA_CHL5</t>
  </si>
  <si>
    <t xml:space="preserve">CHL 4 AS INJ ACC PRES </t>
  </si>
  <si>
    <t>COA_CHL3S</t>
  </si>
  <si>
    <t>COA_CHL4S</t>
  </si>
  <si>
    <t>COA_CHL5S</t>
  </si>
  <si>
    <t>COA_INF_OFF</t>
  </si>
  <si>
    <t>COA_REV</t>
  </si>
  <si>
    <t>国标</t>
  </si>
  <si>
    <t>CO11_SAFENOZZLE</t>
  </si>
  <si>
    <t>座台检测安全门</t>
  </si>
  <si>
    <t>CO11_SAFEEJT</t>
  </si>
  <si>
    <t>脱模检测安全门</t>
  </si>
  <si>
    <t>CO11_SAFECLMPOPN</t>
  </si>
  <si>
    <t>开模检测安全门</t>
  </si>
  <si>
    <t>CO11_SAFECORE</t>
  </si>
  <si>
    <t>中子检测安全门</t>
  </si>
  <si>
    <t>CO11_SAFECHG</t>
  </si>
  <si>
    <t>储料检测安全门</t>
  </si>
  <si>
    <t>CO11_SAFEINJ</t>
  </si>
  <si>
    <t>射出检测安全门</t>
  </si>
  <si>
    <t>CO11_CHGPUA</t>
  </si>
  <si>
    <t>储料检测射出防护罩</t>
  </si>
  <si>
    <t>CO11_NOZPUA</t>
  </si>
  <si>
    <t>座台检测射出防护罩</t>
  </si>
  <si>
    <t>CO11_NULL</t>
  </si>
  <si>
    <t>没在使用</t>
  </si>
  <si>
    <t>CO11_ADJSTTUA</t>
  </si>
  <si>
    <t>调模退检测安全门</t>
  </si>
  <si>
    <t>CO11_SAFEEJTB</t>
  </si>
  <si>
    <t>托模退检测安全门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</si>
</sst>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1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2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9" fillId="4" borderId="3" applyNumberFormat="0" applyAlignment="0" applyProtection="0">
      <alignment vertical="center"/>
    </xf>
    <xf numFmtId="0" fontId="20" fillId="24" borderId="7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325"/>
  <sheetViews>
    <sheetView tabSelected="1" topLeftCell="A235" workbookViewId="0">
      <selection activeCell="E243" sqref="E243"/>
    </sheetView>
  </sheetViews>
  <sheetFormatPr defaultColWidth="9" defaultRowHeight="14" outlineLevelCol="6"/>
  <cols>
    <col min="1" max="1" width="16.5" customWidth="1"/>
    <col min="2" max="2" width="9.62727272727273" style="2" customWidth="1"/>
    <col min="3" max="3" width="9.87272727272727" style="2" customWidth="1"/>
    <col min="4" max="4" width="4.25454545454545" customWidth="1"/>
    <col min="5" max="5" width="79.5" style="3" customWidth="1"/>
  </cols>
  <sheetData>
    <row r="2" spans="1:7">
      <c r="A2" s="4" t="s">
        <v>0</v>
      </c>
      <c r="B2" s="5"/>
      <c r="C2" s="5" t="str">
        <f>DEC2HEX(IF((D3=1),(B3),0)+IF((D4=1),(B4),0)+IF((D5=1),(B5),0)+IF((D6=1),(B6),0)+IF((D7=1),(B7),0)+IF((D8=1),(B8),0)+IF((D9=1),(B9),0)+IF((D10=1),(B10),0)+IF((D11=1),(B11),0)+IF((D12=1),(B12),0)+IF((D13=1),(B13),0)+IF((D14=1),(B14),0)+IF((D15=1),(B15),0)+IF((D16=1),(B16),0)+IF((D17=1),(B17),0)+IF((D18=1),(B18),0))</f>
        <v>4004</v>
      </c>
      <c r="D2" s="4"/>
      <c r="E2" s="6"/>
      <c r="F2" t="str">
        <f>DEC2HEX(G2)</f>
        <v>3E8</v>
      </c>
      <c r="G2">
        <v>1000</v>
      </c>
    </row>
    <row r="3" spans="1:5">
      <c r="A3" s="7" t="s">
        <v>1</v>
      </c>
      <c r="B3" s="8">
        <v>1</v>
      </c>
      <c r="C3" s="8" t="s">
        <v>2</v>
      </c>
      <c r="D3" s="7">
        <v>0</v>
      </c>
      <c r="E3" s="6" t="s">
        <v>3</v>
      </c>
    </row>
    <row r="4" spans="1:5">
      <c r="A4" s="7" t="s">
        <v>4</v>
      </c>
      <c r="B4" s="8">
        <f>B3*2</f>
        <v>2</v>
      </c>
      <c r="C4" s="8" t="s">
        <v>5</v>
      </c>
      <c r="D4" s="7">
        <v>0</v>
      </c>
      <c r="E4" s="6" t="s">
        <v>6</v>
      </c>
    </row>
    <row r="5" spans="1:5">
      <c r="A5" s="7" t="s">
        <v>7</v>
      </c>
      <c r="B5" s="8">
        <f t="shared" ref="B5:B18" si="0">B4*2</f>
        <v>4</v>
      </c>
      <c r="C5" s="8" t="s">
        <v>8</v>
      </c>
      <c r="D5" s="7">
        <v>1</v>
      </c>
      <c r="E5" s="6" t="s">
        <v>9</v>
      </c>
    </row>
    <row r="6" spans="1:5">
      <c r="A6" s="7" t="s">
        <v>10</v>
      </c>
      <c r="B6" s="8">
        <f t="shared" si="0"/>
        <v>8</v>
      </c>
      <c r="C6" s="8" t="s">
        <v>11</v>
      </c>
      <c r="D6" s="7">
        <v>0</v>
      </c>
      <c r="E6" s="6" t="s">
        <v>12</v>
      </c>
    </row>
    <row r="7" spans="1:5">
      <c r="A7" s="7" t="s">
        <v>13</v>
      </c>
      <c r="B7" s="8">
        <f t="shared" si="0"/>
        <v>16</v>
      </c>
      <c r="C7" s="8" t="s">
        <v>14</v>
      </c>
      <c r="D7" s="7">
        <v>0</v>
      </c>
      <c r="E7" s="6"/>
    </row>
    <row r="8" spans="1:5">
      <c r="A8" s="7" t="s">
        <v>15</v>
      </c>
      <c r="B8" s="8">
        <f t="shared" si="0"/>
        <v>32</v>
      </c>
      <c r="C8" s="8" t="s">
        <v>16</v>
      </c>
      <c r="D8" s="7">
        <v>0</v>
      </c>
      <c r="E8" s="6" t="s">
        <v>17</v>
      </c>
    </row>
    <row r="9" spans="1:5">
      <c r="A9" s="7" t="s">
        <v>18</v>
      </c>
      <c r="B9" s="8">
        <f t="shared" si="0"/>
        <v>64</v>
      </c>
      <c r="C9" s="8" t="s">
        <v>19</v>
      </c>
      <c r="D9" s="7">
        <v>0</v>
      </c>
      <c r="E9" s="6" t="s">
        <v>20</v>
      </c>
    </row>
    <row r="10" spans="1:5">
      <c r="A10" s="7" t="s">
        <v>21</v>
      </c>
      <c r="B10" s="8">
        <f t="shared" si="0"/>
        <v>128</v>
      </c>
      <c r="C10" s="8" t="s">
        <v>22</v>
      </c>
      <c r="D10" s="7">
        <v>0</v>
      </c>
      <c r="E10" s="6" t="s">
        <v>23</v>
      </c>
    </row>
    <row r="11" spans="1:5">
      <c r="A11" s="7" t="s">
        <v>24</v>
      </c>
      <c r="B11" s="8">
        <f t="shared" si="0"/>
        <v>256</v>
      </c>
      <c r="C11" s="8" t="s">
        <v>25</v>
      </c>
      <c r="D11" s="7">
        <v>0</v>
      </c>
      <c r="E11" s="6" t="s">
        <v>26</v>
      </c>
    </row>
    <row r="12" spans="1:5">
      <c r="A12" s="7" t="s">
        <v>27</v>
      </c>
      <c r="B12" s="8">
        <f t="shared" si="0"/>
        <v>512</v>
      </c>
      <c r="C12" s="8" t="s">
        <v>28</v>
      </c>
      <c r="D12" s="7">
        <v>0</v>
      </c>
      <c r="E12" s="6" t="s">
        <v>29</v>
      </c>
    </row>
    <row r="13" spans="1:5">
      <c r="A13" s="7" t="s">
        <v>30</v>
      </c>
      <c r="B13" s="8">
        <f t="shared" si="0"/>
        <v>1024</v>
      </c>
      <c r="C13" s="8" t="s">
        <v>31</v>
      </c>
      <c r="D13" s="7">
        <v>0</v>
      </c>
      <c r="E13" s="6" t="s">
        <v>32</v>
      </c>
    </row>
    <row r="14" spans="1:5">
      <c r="A14" s="7" t="s">
        <v>33</v>
      </c>
      <c r="B14" s="8">
        <f t="shared" si="0"/>
        <v>2048</v>
      </c>
      <c r="C14" s="8" t="s">
        <v>34</v>
      </c>
      <c r="D14" s="7">
        <v>0</v>
      </c>
      <c r="E14" s="6" t="s">
        <v>35</v>
      </c>
    </row>
    <row r="15" spans="1:5">
      <c r="A15" s="7" t="s">
        <v>36</v>
      </c>
      <c r="B15" s="8">
        <f t="shared" si="0"/>
        <v>4096</v>
      </c>
      <c r="C15" s="8" t="s">
        <v>37</v>
      </c>
      <c r="D15" s="7">
        <v>0</v>
      </c>
      <c r="E15" s="6" t="s">
        <v>38</v>
      </c>
    </row>
    <row r="16" spans="1:5">
      <c r="A16" s="7" t="s">
        <v>39</v>
      </c>
      <c r="B16" s="8">
        <f t="shared" si="0"/>
        <v>8192</v>
      </c>
      <c r="C16" s="8" t="s">
        <v>40</v>
      </c>
      <c r="D16" s="7">
        <v>0</v>
      </c>
      <c r="E16" s="6" t="s">
        <v>41</v>
      </c>
    </row>
    <row r="17" spans="1:5">
      <c r="A17" s="7" t="s">
        <v>42</v>
      </c>
      <c r="B17" s="8">
        <f t="shared" si="0"/>
        <v>16384</v>
      </c>
      <c r="C17" s="8" t="s">
        <v>43</v>
      </c>
      <c r="D17" s="7">
        <v>1</v>
      </c>
      <c r="E17" s="6" t="s">
        <v>44</v>
      </c>
    </row>
    <row r="18" spans="1:5">
      <c r="A18" s="7" t="s">
        <v>45</v>
      </c>
      <c r="B18" s="8">
        <f t="shared" si="0"/>
        <v>32768</v>
      </c>
      <c r="C18" s="8" t="s">
        <v>46</v>
      </c>
      <c r="D18" s="7">
        <v>0</v>
      </c>
      <c r="E18" s="6" t="s">
        <v>47</v>
      </c>
    </row>
    <row r="20" spans="1:5">
      <c r="A20" s="4" t="s">
        <v>48</v>
      </c>
      <c r="B20" s="5"/>
      <c r="C20" s="5" t="str">
        <f>DEC2HEX(IF((D21=1),(B21),0)+IF((D22=1),(B22),0)+IF((D23=1),(B23),0)+IF((D24=1),(B24),0)+IF((D25=1),(B25),0)+IF((D26=1),(B26),0)+IF((D27=1),(B27),0)+IF((D28=1),(B28),0)+IF((D29=1),(B29),0)+IF((D30=1),(B30),0)+IF((D31=1),(B31),0)+IF((D32=1),(B32),0)+IF((D33=1),(B33),0)+IF((D34=1),(B34),0)+IF((D35=1),(B35),0)+IF((D36=1),(B36),0))</f>
        <v>8004</v>
      </c>
      <c r="D20" s="4"/>
      <c r="E20" s="6"/>
    </row>
    <row r="21" spans="1:5">
      <c r="A21" s="7" t="s">
        <v>49</v>
      </c>
      <c r="B21" s="8">
        <v>1</v>
      </c>
      <c r="C21" s="8" t="s">
        <v>2</v>
      </c>
      <c r="D21" s="7">
        <v>0</v>
      </c>
      <c r="E21" s="6" t="s">
        <v>50</v>
      </c>
    </row>
    <row r="22" spans="1:5">
      <c r="A22" s="7" t="s">
        <v>51</v>
      </c>
      <c r="B22" s="8">
        <f t="shared" ref="B22:B36" si="1">B21*2</f>
        <v>2</v>
      </c>
      <c r="C22" s="8" t="s">
        <v>5</v>
      </c>
      <c r="D22" s="7">
        <v>0</v>
      </c>
      <c r="E22" s="6" t="s">
        <v>52</v>
      </c>
    </row>
    <row r="23" spans="1:5">
      <c r="A23" s="7" t="s">
        <v>53</v>
      </c>
      <c r="B23" s="8">
        <f t="shared" si="1"/>
        <v>4</v>
      </c>
      <c r="C23" s="8" t="s">
        <v>8</v>
      </c>
      <c r="D23" s="7">
        <v>1</v>
      </c>
      <c r="E23" s="6" t="s">
        <v>54</v>
      </c>
    </row>
    <row r="24" spans="1:5">
      <c r="A24" s="7" t="s">
        <v>55</v>
      </c>
      <c r="B24" s="8">
        <f t="shared" si="1"/>
        <v>8</v>
      </c>
      <c r="C24" s="8" t="s">
        <v>11</v>
      </c>
      <c r="D24" s="7">
        <v>0</v>
      </c>
      <c r="E24" s="6" t="s">
        <v>56</v>
      </c>
    </row>
    <row r="25" spans="1:5">
      <c r="A25" s="7" t="s">
        <v>57</v>
      </c>
      <c r="B25" s="8">
        <f t="shared" si="1"/>
        <v>16</v>
      </c>
      <c r="C25" s="8" t="s">
        <v>14</v>
      </c>
      <c r="D25" s="7">
        <v>0</v>
      </c>
      <c r="E25" s="6" t="s">
        <v>58</v>
      </c>
    </row>
    <row r="26" spans="1:5">
      <c r="A26" s="7" t="s">
        <v>59</v>
      </c>
      <c r="B26" s="8">
        <f t="shared" si="1"/>
        <v>32</v>
      </c>
      <c r="C26" s="8" t="s">
        <v>16</v>
      </c>
      <c r="D26" s="7">
        <v>0</v>
      </c>
      <c r="E26" s="6" t="s">
        <v>60</v>
      </c>
    </row>
    <row r="27" spans="1:5">
      <c r="A27" s="7" t="s">
        <v>61</v>
      </c>
      <c r="B27" s="8">
        <f t="shared" si="1"/>
        <v>64</v>
      </c>
      <c r="C27" s="8" t="s">
        <v>19</v>
      </c>
      <c r="D27" s="7">
        <v>0</v>
      </c>
      <c r="E27" s="6" t="s">
        <v>62</v>
      </c>
    </row>
    <row r="28" spans="1:5">
      <c r="A28" s="7" t="s">
        <v>63</v>
      </c>
      <c r="B28" s="8">
        <f t="shared" si="1"/>
        <v>128</v>
      </c>
      <c r="C28" s="8" t="s">
        <v>22</v>
      </c>
      <c r="D28" s="7">
        <v>0</v>
      </c>
      <c r="E28" s="6" t="s">
        <v>64</v>
      </c>
    </row>
    <row r="29" spans="1:5">
      <c r="A29" s="7" t="s">
        <v>65</v>
      </c>
      <c r="B29" s="8">
        <f t="shared" si="1"/>
        <v>256</v>
      </c>
      <c r="C29" s="8" t="s">
        <v>25</v>
      </c>
      <c r="D29" s="7">
        <v>0</v>
      </c>
      <c r="E29" s="6" t="s">
        <v>66</v>
      </c>
    </row>
    <row r="30" spans="1:5">
      <c r="A30" s="7" t="s">
        <v>67</v>
      </c>
      <c r="B30" s="8">
        <f t="shared" si="1"/>
        <v>512</v>
      </c>
      <c r="C30" s="8" t="s">
        <v>28</v>
      </c>
      <c r="D30" s="7">
        <v>0</v>
      </c>
      <c r="E30" s="6"/>
    </row>
    <row r="31" spans="1:5">
      <c r="A31" s="7" t="s">
        <v>68</v>
      </c>
      <c r="B31" s="8">
        <f t="shared" si="1"/>
        <v>1024</v>
      </c>
      <c r="C31" s="8" t="s">
        <v>31</v>
      </c>
      <c r="D31" s="7">
        <v>0</v>
      </c>
      <c r="E31" s="6" t="s">
        <v>69</v>
      </c>
    </row>
    <row r="32" spans="1:5">
      <c r="A32" s="7" t="s">
        <v>70</v>
      </c>
      <c r="B32" s="8">
        <f t="shared" si="1"/>
        <v>2048</v>
      </c>
      <c r="C32" s="8" t="s">
        <v>34</v>
      </c>
      <c r="D32" s="7">
        <v>0</v>
      </c>
      <c r="E32" s="6" t="s">
        <v>71</v>
      </c>
    </row>
    <row r="33" spans="1:5">
      <c r="A33" s="7" t="s">
        <v>72</v>
      </c>
      <c r="B33" s="8">
        <f t="shared" si="1"/>
        <v>4096</v>
      </c>
      <c r="C33" s="8" t="s">
        <v>37</v>
      </c>
      <c r="D33" s="7">
        <v>0</v>
      </c>
      <c r="E33" s="6" t="s">
        <v>73</v>
      </c>
    </row>
    <row r="34" spans="1:5">
      <c r="A34" s="7" t="s">
        <v>74</v>
      </c>
      <c r="B34" s="8">
        <f t="shared" si="1"/>
        <v>8192</v>
      </c>
      <c r="C34" s="8" t="s">
        <v>40</v>
      </c>
      <c r="D34" s="7">
        <v>0</v>
      </c>
      <c r="E34" s="6" t="s">
        <v>75</v>
      </c>
    </row>
    <row r="35" spans="1:5">
      <c r="A35" s="7" t="s">
        <v>76</v>
      </c>
      <c r="B35" s="8">
        <f t="shared" si="1"/>
        <v>16384</v>
      </c>
      <c r="C35" s="8" t="s">
        <v>43</v>
      </c>
      <c r="D35" s="7">
        <v>0</v>
      </c>
      <c r="E35" s="6" t="s">
        <v>77</v>
      </c>
    </row>
    <row r="36" spans="1:5">
      <c r="A36" s="7" t="s">
        <v>78</v>
      </c>
      <c r="B36" s="8">
        <f t="shared" si="1"/>
        <v>32768</v>
      </c>
      <c r="C36" s="8" t="s">
        <v>46</v>
      </c>
      <c r="D36" s="7">
        <v>1</v>
      </c>
      <c r="E36" s="6" t="s">
        <v>79</v>
      </c>
    </row>
    <row r="38" spans="1:5">
      <c r="A38" s="4" t="s">
        <v>80</v>
      </c>
      <c r="B38" s="5"/>
      <c r="C38" s="5" t="str">
        <f>DEC2HEX(IF((D39=1),(B39),0)+IF((D40=1),(B40),0)+IF((D41=1),(B41),0)+IF((D42=1),(B42),0)+IF((D43=1),(B43),0)+IF((D44=1),(B44),0)+IF((D45=1),(B45),0)+IF((D46=1),(B46),0)+IF((D47=1),(B47),0)+IF((D48=1),(B48),0)+IF((D49=1),(B49),0)+IF((D50=1),(B50),0)+IF((D51=1),(B51),0)+IF((D52=1),(B52),0)+IF((D53=1),(B53),0)+IF((D54=1),(B54),0))</f>
        <v>0</v>
      </c>
      <c r="D38" s="4"/>
      <c r="E38" s="6"/>
    </row>
    <row r="39" spans="1:5">
      <c r="A39" s="7" t="s">
        <v>81</v>
      </c>
      <c r="B39" s="8">
        <v>1</v>
      </c>
      <c r="C39" s="8" t="s">
        <v>2</v>
      </c>
      <c r="D39" s="7">
        <v>0</v>
      </c>
      <c r="E39" s="6" t="s">
        <v>82</v>
      </c>
    </row>
    <row r="40" spans="1:5">
      <c r="A40" s="7" t="s">
        <v>83</v>
      </c>
      <c r="B40" s="8">
        <f t="shared" ref="B40:B54" si="2">B39*2</f>
        <v>2</v>
      </c>
      <c r="C40" s="8" t="s">
        <v>5</v>
      </c>
      <c r="D40" s="7">
        <v>0</v>
      </c>
      <c r="E40" s="6" t="s">
        <v>84</v>
      </c>
    </row>
    <row r="41" spans="1:5">
      <c r="A41" s="7" t="s">
        <v>85</v>
      </c>
      <c r="B41" s="8">
        <f t="shared" si="2"/>
        <v>4</v>
      </c>
      <c r="C41" s="8" t="s">
        <v>8</v>
      </c>
      <c r="D41" s="7">
        <v>0</v>
      </c>
      <c r="E41" s="6" t="s">
        <v>86</v>
      </c>
    </row>
    <row r="42" spans="1:5">
      <c r="A42" s="7" t="s">
        <v>87</v>
      </c>
      <c r="B42" s="8">
        <f t="shared" si="2"/>
        <v>8</v>
      </c>
      <c r="C42" s="8" t="s">
        <v>11</v>
      </c>
      <c r="D42" s="7">
        <v>0</v>
      </c>
      <c r="E42" s="6" t="s">
        <v>88</v>
      </c>
    </row>
    <row r="43" spans="1:5">
      <c r="A43" s="7" t="s">
        <v>89</v>
      </c>
      <c r="B43" s="8">
        <f t="shared" si="2"/>
        <v>16</v>
      </c>
      <c r="C43" s="8" t="s">
        <v>14</v>
      </c>
      <c r="D43" s="7">
        <v>0</v>
      </c>
      <c r="E43" s="6"/>
    </row>
    <row r="44" spans="1:5">
      <c r="A44" s="7" t="s">
        <v>90</v>
      </c>
      <c r="B44" s="8">
        <f t="shared" si="2"/>
        <v>32</v>
      </c>
      <c r="C44" s="8" t="s">
        <v>16</v>
      </c>
      <c r="D44" s="7">
        <v>0</v>
      </c>
      <c r="E44" s="6" t="s">
        <v>91</v>
      </c>
    </row>
    <row r="45" spans="1:5">
      <c r="A45" s="7" t="s">
        <v>92</v>
      </c>
      <c r="B45" s="8">
        <f t="shared" si="2"/>
        <v>64</v>
      </c>
      <c r="C45" s="8" t="s">
        <v>19</v>
      </c>
      <c r="D45" s="7">
        <v>0</v>
      </c>
      <c r="E45" s="6" t="s">
        <v>93</v>
      </c>
    </row>
    <row r="46" spans="1:5">
      <c r="A46" s="7" t="s">
        <v>94</v>
      </c>
      <c r="B46" s="8">
        <f t="shared" si="2"/>
        <v>128</v>
      </c>
      <c r="C46" s="8" t="s">
        <v>22</v>
      </c>
      <c r="D46" s="7">
        <v>0</v>
      </c>
      <c r="E46" s="6" t="s">
        <v>95</v>
      </c>
    </row>
    <row r="47" spans="1:5">
      <c r="A47" s="7" t="s">
        <v>96</v>
      </c>
      <c r="B47" s="8">
        <f t="shared" si="2"/>
        <v>256</v>
      </c>
      <c r="C47" s="8" t="s">
        <v>25</v>
      </c>
      <c r="D47" s="7">
        <v>0</v>
      </c>
      <c r="E47" s="6" t="s">
        <v>97</v>
      </c>
    </row>
    <row r="48" spans="1:5">
      <c r="A48" s="7" t="s">
        <v>98</v>
      </c>
      <c r="B48" s="8">
        <f t="shared" si="2"/>
        <v>512</v>
      </c>
      <c r="C48" s="8" t="s">
        <v>28</v>
      </c>
      <c r="D48" s="7">
        <v>0</v>
      </c>
      <c r="E48" s="6" t="s">
        <v>99</v>
      </c>
    </row>
    <row r="49" spans="1:5">
      <c r="A49" s="7" t="s">
        <v>100</v>
      </c>
      <c r="B49" s="8">
        <f t="shared" si="2"/>
        <v>1024</v>
      </c>
      <c r="C49" s="8" t="s">
        <v>31</v>
      </c>
      <c r="D49" s="7">
        <v>0</v>
      </c>
      <c r="E49" s="6" t="s">
        <v>101</v>
      </c>
    </row>
    <row r="50" spans="1:5">
      <c r="A50" s="7" t="s">
        <v>102</v>
      </c>
      <c r="B50" s="8">
        <f t="shared" si="2"/>
        <v>2048</v>
      </c>
      <c r="C50" s="8" t="s">
        <v>34</v>
      </c>
      <c r="D50" s="7">
        <v>0</v>
      </c>
      <c r="E50" s="6" t="s">
        <v>103</v>
      </c>
    </row>
    <row r="51" spans="1:5">
      <c r="A51" s="7" t="s">
        <v>104</v>
      </c>
      <c r="B51" s="8">
        <f t="shared" si="2"/>
        <v>4096</v>
      </c>
      <c r="C51" s="8" t="s">
        <v>37</v>
      </c>
      <c r="D51" s="7">
        <v>0</v>
      </c>
      <c r="E51" s="6" t="s">
        <v>105</v>
      </c>
    </row>
    <row r="52" spans="1:5">
      <c r="A52" s="7" t="s">
        <v>106</v>
      </c>
      <c r="B52" s="8">
        <f t="shared" si="2"/>
        <v>8192</v>
      </c>
      <c r="C52" s="8" t="s">
        <v>40</v>
      </c>
      <c r="D52" s="7">
        <v>0</v>
      </c>
      <c r="E52" s="6" t="s">
        <v>107</v>
      </c>
    </row>
    <row r="53" spans="1:5">
      <c r="A53" s="7" t="s">
        <v>108</v>
      </c>
      <c r="B53" s="8">
        <f t="shared" si="2"/>
        <v>16384</v>
      </c>
      <c r="C53" s="8" t="s">
        <v>43</v>
      </c>
      <c r="D53" s="7">
        <v>0</v>
      </c>
      <c r="E53" s="6" t="s">
        <v>109</v>
      </c>
    </row>
    <row r="54" spans="1:5">
      <c r="A54" s="7" t="s">
        <v>110</v>
      </c>
      <c r="B54" s="8">
        <f t="shared" si="2"/>
        <v>32768</v>
      </c>
      <c r="C54" s="8" t="s">
        <v>46</v>
      </c>
      <c r="D54" s="7">
        <v>0</v>
      </c>
      <c r="E54" s="6" t="s">
        <v>111</v>
      </c>
    </row>
    <row r="56" spans="1:5">
      <c r="A56" s="4" t="s">
        <v>112</v>
      </c>
      <c r="B56" s="5"/>
      <c r="C56" s="5" t="str">
        <f>DEC2HEX(IF((D57=1),(B57),0)+IF((D58=1),(B58),0)+IF((D59=1),(B59),0)+IF((D60=1),(B60),0)+IF((D61=1),(B61),0)+IF((D62=1),(B62),0)+IF((D63=1),(B63),0)+IF((D64=1),(B64),0)+IF((D65=1),(B65),0)+IF((D66=1),(B66),0)+IF((D67=1),(B67),0)+IF((D68=1),(B68),0)+IF((D69=1),(B69),0)+IF((D70=1),(B70),0)+IF((D71=1),(B71),0)+IF((D72=1),(B72),0))</f>
        <v>1010</v>
      </c>
      <c r="D56" s="4"/>
      <c r="E56" s="6"/>
    </row>
    <row r="57" spans="1:5">
      <c r="A57" s="7" t="s">
        <v>113</v>
      </c>
      <c r="B57" s="8">
        <v>1</v>
      </c>
      <c r="C57" s="8" t="s">
        <v>2</v>
      </c>
      <c r="D57" s="7">
        <v>0</v>
      </c>
      <c r="E57" s="6" t="s">
        <v>114</v>
      </c>
    </row>
    <row r="58" spans="1:5">
      <c r="A58" s="7" t="s">
        <v>115</v>
      </c>
      <c r="B58" s="8">
        <f t="shared" ref="B58:B72" si="3">B57*2</f>
        <v>2</v>
      </c>
      <c r="C58" s="8" t="s">
        <v>5</v>
      </c>
      <c r="D58" s="7">
        <v>0</v>
      </c>
      <c r="E58" s="6" t="s">
        <v>116</v>
      </c>
    </row>
    <row r="59" spans="1:5">
      <c r="A59" s="7" t="s">
        <v>117</v>
      </c>
      <c r="B59" s="8">
        <f t="shared" si="3"/>
        <v>4</v>
      </c>
      <c r="C59" s="8" t="s">
        <v>8</v>
      </c>
      <c r="D59" s="7">
        <v>0</v>
      </c>
      <c r="E59" s="6" t="s">
        <v>118</v>
      </c>
    </row>
    <row r="60" spans="1:5">
      <c r="A60" s="7" t="s">
        <v>119</v>
      </c>
      <c r="B60" s="8">
        <f t="shared" si="3"/>
        <v>8</v>
      </c>
      <c r="C60" s="8" t="s">
        <v>11</v>
      </c>
      <c r="D60" s="7">
        <v>0</v>
      </c>
      <c r="E60" s="6" t="s">
        <v>120</v>
      </c>
    </row>
    <row r="61" spans="1:5">
      <c r="A61" s="7" t="s">
        <v>121</v>
      </c>
      <c r="B61" s="8">
        <f t="shared" si="3"/>
        <v>16</v>
      </c>
      <c r="C61" s="8" t="s">
        <v>14</v>
      </c>
      <c r="D61" s="7">
        <v>1</v>
      </c>
      <c r="E61" s="6" t="s">
        <v>122</v>
      </c>
    </row>
    <row r="62" spans="1:5">
      <c r="A62" s="7" t="s">
        <v>123</v>
      </c>
      <c r="B62" s="8">
        <f t="shared" si="3"/>
        <v>32</v>
      </c>
      <c r="C62" s="8" t="s">
        <v>16</v>
      </c>
      <c r="D62" s="7">
        <v>0</v>
      </c>
      <c r="E62" s="6" t="s">
        <v>124</v>
      </c>
    </row>
    <row r="63" spans="1:5">
      <c r="A63" s="7" t="s">
        <v>125</v>
      </c>
      <c r="B63" s="8">
        <f t="shared" si="3"/>
        <v>64</v>
      </c>
      <c r="C63" s="8" t="s">
        <v>19</v>
      </c>
      <c r="D63" s="7">
        <v>0</v>
      </c>
      <c r="E63" s="6" t="s">
        <v>126</v>
      </c>
    </row>
    <row r="64" spans="1:5">
      <c r="A64" s="7" t="s">
        <v>127</v>
      </c>
      <c r="B64" s="8">
        <f t="shared" si="3"/>
        <v>128</v>
      </c>
      <c r="C64" s="8" t="s">
        <v>22</v>
      </c>
      <c r="D64" s="7">
        <v>0</v>
      </c>
      <c r="E64" s="6" t="s">
        <v>128</v>
      </c>
    </row>
    <row r="65" spans="1:5">
      <c r="A65" s="7" t="s">
        <v>129</v>
      </c>
      <c r="B65" s="8">
        <f t="shared" si="3"/>
        <v>256</v>
      </c>
      <c r="C65" s="8" t="s">
        <v>25</v>
      </c>
      <c r="D65" s="7">
        <v>0</v>
      </c>
      <c r="E65" s="6" t="s">
        <v>130</v>
      </c>
    </row>
    <row r="66" spans="1:5">
      <c r="A66" s="7" t="s">
        <v>131</v>
      </c>
      <c r="B66" s="8">
        <f t="shared" si="3"/>
        <v>512</v>
      </c>
      <c r="C66" s="8" t="s">
        <v>28</v>
      </c>
      <c r="D66" s="7">
        <v>0</v>
      </c>
      <c r="E66" s="6" t="s">
        <v>132</v>
      </c>
    </row>
    <row r="67" spans="1:5">
      <c r="A67" s="7" t="s">
        <v>133</v>
      </c>
      <c r="B67" s="8">
        <f t="shared" si="3"/>
        <v>1024</v>
      </c>
      <c r="C67" s="8" t="s">
        <v>31</v>
      </c>
      <c r="D67" s="7">
        <v>0</v>
      </c>
      <c r="E67" s="6" t="s">
        <v>134</v>
      </c>
    </row>
    <row r="68" spans="1:5">
      <c r="A68" s="7" t="s">
        <v>135</v>
      </c>
      <c r="B68" s="8">
        <f t="shared" si="3"/>
        <v>2048</v>
      </c>
      <c r="C68" s="8" t="s">
        <v>34</v>
      </c>
      <c r="D68" s="7">
        <v>0</v>
      </c>
      <c r="E68" s="6" t="s">
        <v>136</v>
      </c>
    </row>
    <row r="69" spans="1:5">
      <c r="A69" s="7" t="s">
        <v>137</v>
      </c>
      <c r="B69" s="8">
        <f t="shared" si="3"/>
        <v>4096</v>
      </c>
      <c r="C69" s="8" t="s">
        <v>37</v>
      </c>
      <c r="D69" s="7">
        <v>1</v>
      </c>
      <c r="E69" s="6" t="s">
        <v>138</v>
      </c>
    </row>
    <row r="70" spans="1:5">
      <c r="A70" s="7" t="s">
        <v>139</v>
      </c>
      <c r="B70" s="8">
        <f t="shared" si="3"/>
        <v>8192</v>
      </c>
      <c r="C70" s="8" t="s">
        <v>40</v>
      </c>
      <c r="D70" s="7">
        <v>0</v>
      </c>
      <c r="E70" s="6" t="s">
        <v>140</v>
      </c>
    </row>
    <row r="71" spans="1:5">
      <c r="A71" s="7" t="s">
        <v>141</v>
      </c>
      <c r="B71" s="8">
        <f t="shared" si="3"/>
        <v>16384</v>
      </c>
      <c r="C71" s="8" t="s">
        <v>43</v>
      </c>
      <c r="D71" s="7">
        <v>0</v>
      </c>
      <c r="E71" s="6" t="s">
        <v>142</v>
      </c>
    </row>
    <row r="72" spans="1:5">
      <c r="A72" s="7" t="s">
        <v>143</v>
      </c>
      <c r="B72" s="8">
        <f t="shared" si="3"/>
        <v>32768</v>
      </c>
      <c r="C72" s="8" t="s">
        <v>46</v>
      </c>
      <c r="D72" s="7">
        <v>0</v>
      </c>
      <c r="E72" s="6"/>
    </row>
    <row r="74" spans="1:5">
      <c r="A74" s="4" t="s">
        <v>144</v>
      </c>
      <c r="B74" s="5"/>
      <c r="C74" s="5" t="str">
        <f>DEC2HEX(IF((D75=1),(B75),0)+IF((D76=1),(B76),0)+IF((D77=1),(B77),0)+IF((D78=1),(B78),0)+IF((D79=1),(B79),0)+IF((D80=1),(B80),0)+IF((D81=1),(B81),0)+IF((D82=1),(B82),0)+IF((D83=1),(B83),0)+IF((D84=1),(B84),0)+IF((D85=1),(B85),0)+IF((D86=1),(B86),0)+IF((D87=1),(B87),0)+IF((D88=1),(B88),0)+IF((D89=1),(B89),0)+IF((D90=1),(B90),0))</f>
        <v>0</v>
      </c>
      <c r="D74" s="4"/>
      <c r="E74" s="6"/>
    </row>
    <row r="75" spans="1:5">
      <c r="A75" s="7" t="s">
        <v>145</v>
      </c>
      <c r="B75" s="8">
        <v>1</v>
      </c>
      <c r="C75" s="8" t="s">
        <v>2</v>
      </c>
      <c r="D75" s="7">
        <v>0</v>
      </c>
      <c r="E75" s="6" t="s">
        <v>146</v>
      </c>
    </row>
    <row r="76" spans="1:5">
      <c r="A76" s="7" t="s">
        <v>147</v>
      </c>
      <c r="B76" s="8">
        <f t="shared" ref="B76:B90" si="4">B75*2</f>
        <v>2</v>
      </c>
      <c r="C76" s="8" t="s">
        <v>5</v>
      </c>
      <c r="D76" s="7">
        <v>0</v>
      </c>
      <c r="E76" s="6"/>
    </row>
    <row r="77" spans="1:5">
      <c r="A77" s="7" t="s">
        <v>148</v>
      </c>
      <c r="B77" s="8">
        <f t="shared" si="4"/>
        <v>4</v>
      </c>
      <c r="C77" s="8" t="s">
        <v>8</v>
      </c>
      <c r="D77" s="7">
        <v>0</v>
      </c>
      <c r="E77" s="6" t="s">
        <v>149</v>
      </c>
    </row>
    <row r="78" spans="1:5">
      <c r="A78" s="7" t="s">
        <v>150</v>
      </c>
      <c r="B78" s="8">
        <f t="shared" si="4"/>
        <v>8</v>
      </c>
      <c r="C78" s="8" t="s">
        <v>11</v>
      </c>
      <c r="D78" s="7">
        <v>0</v>
      </c>
      <c r="E78" s="6"/>
    </row>
    <row r="79" spans="1:5">
      <c r="A79" s="7" t="s">
        <v>151</v>
      </c>
      <c r="B79" s="8">
        <f t="shared" si="4"/>
        <v>16</v>
      </c>
      <c r="C79" s="8" t="s">
        <v>14</v>
      </c>
      <c r="D79" s="7">
        <v>0</v>
      </c>
      <c r="E79" s="6"/>
    </row>
    <row r="80" spans="1:5">
      <c r="A80" s="7" t="s">
        <v>152</v>
      </c>
      <c r="B80" s="8">
        <f t="shared" si="4"/>
        <v>32</v>
      </c>
      <c r="C80" s="8" t="s">
        <v>16</v>
      </c>
      <c r="D80" s="7">
        <v>0</v>
      </c>
      <c r="E80" s="6"/>
    </row>
    <row r="81" spans="1:5">
      <c r="A81" s="7" t="s">
        <v>153</v>
      </c>
      <c r="B81" s="8">
        <f t="shared" si="4"/>
        <v>64</v>
      </c>
      <c r="C81" s="8" t="s">
        <v>19</v>
      </c>
      <c r="D81" s="7">
        <v>0</v>
      </c>
      <c r="E81" s="6" t="s">
        <v>154</v>
      </c>
    </row>
    <row r="82" spans="1:5">
      <c r="A82" s="7" t="s">
        <v>155</v>
      </c>
      <c r="B82" s="8">
        <f t="shared" si="4"/>
        <v>128</v>
      </c>
      <c r="C82" s="8" t="s">
        <v>22</v>
      </c>
      <c r="D82" s="7">
        <v>0</v>
      </c>
      <c r="E82" s="6" t="s">
        <v>156</v>
      </c>
    </row>
    <row r="83" spans="1:5">
      <c r="A83" s="7" t="s">
        <v>157</v>
      </c>
      <c r="B83" s="8">
        <f t="shared" si="4"/>
        <v>256</v>
      </c>
      <c r="C83" s="8" t="s">
        <v>25</v>
      </c>
      <c r="D83" s="7">
        <v>0</v>
      </c>
      <c r="E83" s="6" t="s">
        <v>158</v>
      </c>
    </row>
    <row r="84" spans="1:5">
      <c r="A84" s="7" t="s">
        <v>159</v>
      </c>
      <c r="B84" s="8">
        <f t="shared" si="4"/>
        <v>512</v>
      </c>
      <c r="C84" s="8" t="s">
        <v>28</v>
      </c>
      <c r="D84" s="7">
        <v>0</v>
      </c>
      <c r="E84" s="6" t="s">
        <v>160</v>
      </c>
    </row>
    <row r="85" spans="1:5">
      <c r="A85" s="7" t="s">
        <v>161</v>
      </c>
      <c r="B85" s="8">
        <f t="shared" si="4"/>
        <v>1024</v>
      </c>
      <c r="C85" s="8" t="s">
        <v>31</v>
      </c>
      <c r="D85" s="7">
        <v>0</v>
      </c>
      <c r="E85" s="6" t="s">
        <v>162</v>
      </c>
    </row>
    <row r="86" spans="1:5">
      <c r="A86" s="7" t="s">
        <v>163</v>
      </c>
      <c r="B86" s="8">
        <f t="shared" si="4"/>
        <v>2048</v>
      </c>
      <c r="C86" s="8" t="s">
        <v>34</v>
      </c>
      <c r="D86" s="7">
        <v>0</v>
      </c>
      <c r="E86" s="6" t="s">
        <v>164</v>
      </c>
    </row>
    <row r="87" spans="1:5">
      <c r="A87" s="7" t="s">
        <v>165</v>
      </c>
      <c r="B87" s="8">
        <f t="shared" si="4"/>
        <v>4096</v>
      </c>
      <c r="C87" s="8" t="s">
        <v>37</v>
      </c>
      <c r="D87" s="7">
        <v>0</v>
      </c>
      <c r="E87" s="6" t="s">
        <v>166</v>
      </c>
    </row>
    <row r="88" spans="1:5">
      <c r="A88" s="7" t="s">
        <v>167</v>
      </c>
      <c r="B88" s="8">
        <f t="shared" si="4"/>
        <v>8192</v>
      </c>
      <c r="C88" s="8" t="s">
        <v>40</v>
      </c>
      <c r="D88" s="7">
        <v>0</v>
      </c>
      <c r="E88" s="6" t="s">
        <v>168</v>
      </c>
    </row>
    <row r="89" spans="1:5">
      <c r="A89" s="7" t="s">
        <v>169</v>
      </c>
      <c r="B89" s="8">
        <f t="shared" si="4"/>
        <v>16384</v>
      </c>
      <c r="C89" s="8" t="s">
        <v>43</v>
      </c>
      <c r="D89" s="7">
        <v>0</v>
      </c>
      <c r="E89" s="6" t="s">
        <v>170</v>
      </c>
    </row>
    <row r="90" spans="1:5">
      <c r="A90" s="7" t="s">
        <v>171</v>
      </c>
      <c r="B90" s="8">
        <f t="shared" si="4"/>
        <v>32768</v>
      </c>
      <c r="C90" s="8" t="s">
        <v>46</v>
      </c>
      <c r="D90" s="7">
        <v>0</v>
      </c>
      <c r="E90" s="6" t="s">
        <v>172</v>
      </c>
    </row>
    <row r="92" spans="1:5">
      <c r="A92" s="4" t="s">
        <v>173</v>
      </c>
      <c r="B92" s="5"/>
      <c r="C92" s="5" t="str">
        <f>DEC2HEX(IF((D93=1),(B93),0)+IF((D94=1),(B94),0)+IF((D95=1),(B95),0)+IF((D96=1),(B96),0)+IF((D97=1),(B97),0)+IF((D98=1),(B98),0)+IF((D99=1),(B99),0)+IF((D100=1),(B100),0)+IF((D101=1),(B101),0)+IF((D102=1),(B102),0)+IF((D103=1),(B103),0)+IF((D104=1),(B104),0)+IF((D105=1),(B105),0)+IF((D106=1),(B106),0)+IF((D107=1),(B107),0)+IF((D108=1),(B108),0))</f>
        <v>0</v>
      </c>
      <c r="D92" s="4"/>
      <c r="E92" s="6"/>
    </row>
    <row r="93" spans="1:5">
      <c r="A93" s="7" t="s">
        <v>174</v>
      </c>
      <c r="B93" s="8">
        <v>1</v>
      </c>
      <c r="C93" s="8" t="s">
        <v>2</v>
      </c>
      <c r="D93" s="7">
        <v>0</v>
      </c>
      <c r="E93" s="6" t="s">
        <v>175</v>
      </c>
    </row>
    <row r="94" spans="1:5">
      <c r="A94" s="7" t="s">
        <v>176</v>
      </c>
      <c r="B94" s="8">
        <f t="shared" ref="B94:B108" si="5">B93*2</f>
        <v>2</v>
      </c>
      <c r="C94" s="8" t="s">
        <v>5</v>
      </c>
      <c r="D94" s="7">
        <v>0</v>
      </c>
      <c r="E94" s="6"/>
    </row>
    <row r="95" spans="1:5">
      <c r="A95" s="7" t="s">
        <v>177</v>
      </c>
      <c r="B95" s="8">
        <f t="shared" si="5"/>
        <v>4</v>
      </c>
      <c r="C95" s="8" t="s">
        <v>8</v>
      </c>
      <c r="D95" s="7">
        <v>0</v>
      </c>
      <c r="E95" s="6" t="s">
        <v>178</v>
      </c>
    </row>
    <row r="96" spans="1:5">
      <c r="A96" s="7" t="s">
        <v>179</v>
      </c>
      <c r="B96" s="8">
        <f t="shared" si="5"/>
        <v>8</v>
      </c>
      <c r="C96" s="8" t="s">
        <v>11</v>
      </c>
      <c r="D96" s="7">
        <v>0</v>
      </c>
      <c r="E96" s="6" t="s">
        <v>180</v>
      </c>
    </row>
    <row r="97" spans="1:5">
      <c r="A97" s="7" t="s">
        <v>181</v>
      </c>
      <c r="B97" s="8">
        <f t="shared" si="5"/>
        <v>16</v>
      </c>
      <c r="C97" s="8" t="s">
        <v>14</v>
      </c>
      <c r="D97" s="7">
        <v>0</v>
      </c>
      <c r="E97" s="6"/>
    </row>
    <row r="98" spans="1:5">
      <c r="A98" s="7" t="s">
        <v>182</v>
      </c>
      <c r="B98" s="8">
        <f t="shared" si="5"/>
        <v>32</v>
      </c>
      <c r="C98" s="8" t="s">
        <v>16</v>
      </c>
      <c r="D98" s="7">
        <v>0</v>
      </c>
      <c r="E98" s="6"/>
    </row>
    <row r="99" spans="1:5">
      <c r="A99" s="7" t="s">
        <v>183</v>
      </c>
      <c r="B99" s="8">
        <f t="shared" si="5"/>
        <v>64</v>
      </c>
      <c r="C99" s="8" t="s">
        <v>19</v>
      </c>
      <c r="D99" s="7">
        <v>0</v>
      </c>
      <c r="E99" s="6" t="s">
        <v>184</v>
      </c>
    </row>
    <row r="100" spans="1:5">
      <c r="A100" s="7" t="s">
        <v>185</v>
      </c>
      <c r="B100" s="8">
        <f t="shared" si="5"/>
        <v>128</v>
      </c>
      <c r="C100" s="8" t="s">
        <v>22</v>
      </c>
      <c r="D100" s="7">
        <v>0</v>
      </c>
      <c r="E100" s="6" t="s">
        <v>186</v>
      </c>
    </row>
    <row r="101" spans="1:5">
      <c r="A101" s="7" t="s">
        <v>187</v>
      </c>
      <c r="B101" s="8">
        <f t="shared" si="5"/>
        <v>256</v>
      </c>
      <c r="C101" s="8" t="s">
        <v>25</v>
      </c>
      <c r="D101" s="7">
        <v>0</v>
      </c>
      <c r="E101" s="6" t="s">
        <v>188</v>
      </c>
    </row>
    <row r="102" spans="1:5">
      <c r="A102" s="7" t="s">
        <v>189</v>
      </c>
      <c r="B102" s="8">
        <f t="shared" si="5"/>
        <v>512</v>
      </c>
      <c r="C102" s="8" t="s">
        <v>28</v>
      </c>
      <c r="D102" s="7">
        <v>0</v>
      </c>
      <c r="E102" s="6" t="s">
        <v>190</v>
      </c>
    </row>
    <row r="103" spans="1:5">
      <c r="A103" s="7" t="s">
        <v>191</v>
      </c>
      <c r="B103" s="8">
        <f t="shared" si="5"/>
        <v>1024</v>
      </c>
      <c r="C103" s="8" t="s">
        <v>31</v>
      </c>
      <c r="D103" s="7">
        <v>0</v>
      </c>
      <c r="E103" s="6" t="s">
        <v>192</v>
      </c>
    </row>
    <row r="104" spans="1:5">
      <c r="A104" s="7" t="s">
        <v>193</v>
      </c>
      <c r="B104" s="8">
        <f t="shared" si="5"/>
        <v>2048</v>
      </c>
      <c r="C104" s="8" t="s">
        <v>34</v>
      </c>
      <c r="D104" s="7">
        <v>0</v>
      </c>
      <c r="E104" s="6" t="s">
        <v>194</v>
      </c>
    </row>
    <row r="105" spans="1:5">
      <c r="A105" s="7" t="s">
        <v>195</v>
      </c>
      <c r="B105" s="8">
        <f t="shared" si="5"/>
        <v>4096</v>
      </c>
      <c r="C105" s="8" t="s">
        <v>37</v>
      </c>
      <c r="D105" s="7">
        <v>0</v>
      </c>
      <c r="E105" s="6" t="s">
        <v>196</v>
      </c>
    </row>
    <row r="106" spans="1:5">
      <c r="A106" s="7" t="s">
        <v>197</v>
      </c>
      <c r="B106" s="8">
        <f t="shared" si="5"/>
        <v>8192</v>
      </c>
      <c r="C106" s="8" t="s">
        <v>40</v>
      </c>
      <c r="D106" s="7">
        <v>0</v>
      </c>
      <c r="E106" s="6" t="s">
        <v>198</v>
      </c>
    </row>
    <row r="107" spans="1:5">
      <c r="A107" s="7" t="s">
        <v>199</v>
      </c>
      <c r="B107" s="8">
        <f t="shared" si="5"/>
        <v>16384</v>
      </c>
      <c r="C107" s="8" t="s">
        <v>43</v>
      </c>
      <c r="D107" s="7">
        <v>0</v>
      </c>
      <c r="E107" s="6" t="s">
        <v>200</v>
      </c>
    </row>
    <row r="108" spans="1:5">
      <c r="A108" s="7" t="s">
        <v>201</v>
      </c>
      <c r="B108" s="8">
        <f t="shared" si="5"/>
        <v>32768</v>
      </c>
      <c r="C108" s="8" t="s">
        <v>46</v>
      </c>
      <c r="D108" s="7">
        <v>0</v>
      </c>
      <c r="E108" s="6"/>
    </row>
    <row r="110" spans="1:5">
      <c r="A110" s="4" t="s">
        <v>202</v>
      </c>
      <c r="B110" s="5"/>
      <c r="C110" s="5" t="str">
        <f>DEC2HEX(IF((D111=1),(B111),0)+IF((D112=1),(B112),0)+IF((D113=1),(B113),0)+IF((D114=1),(B114),0)+IF((D115=1),(B115),0)+IF((D116=1),(B116),0)+IF((D117=1),(B117),0)+IF((D118=1),(B118),0)+IF((D119=1),(B119),0)+IF((D120=1),(B120),0)+IF((D121=1),(B121),0)+IF((D122=1),(B122),0)+IF((D123=1),(B123),0)+IF((D124=1),(B124),0)+IF((D125=1),(B125),0)+IF((D126=1),(B126),0))</f>
        <v>0</v>
      </c>
      <c r="D110" s="4"/>
      <c r="E110" s="6"/>
    </row>
    <row r="111" spans="1:5">
      <c r="A111" s="7" t="s">
        <v>203</v>
      </c>
      <c r="B111" s="8">
        <v>1</v>
      </c>
      <c r="C111" s="8" t="s">
        <v>2</v>
      </c>
      <c r="D111" s="7">
        <v>0</v>
      </c>
      <c r="E111" s="6"/>
    </row>
    <row r="112" spans="1:5">
      <c r="A112" s="7" t="s">
        <v>204</v>
      </c>
      <c r="B112" s="8">
        <f t="shared" ref="B112:B126" si="6">B111*2</f>
        <v>2</v>
      </c>
      <c r="C112" s="8" t="s">
        <v>5</v>
      </c>
      <c r="D112" s="7">
        <v>0</v>
      </c>
      <c r="E112" s="6" t="s">
        <v>205</v>
      </c>
    </row>
    <row r="113" spans="1:5">
      <c r="A113" s="7" t="s">
        <v>206</v>
      </c>
      <c r="B113" s="8">
        <f t="shared" si="6"/>
        <v>4</v>
      </c>
      <c r="C113" s="8" t="s">
        <v>8</v>
      </c>
      <c r="D113" s="7">
        <v>0</v>
      </c>
      <c r="E113" s="6"/>
    </row>
    <row r="114" spans="1:5">
      <c r="A114" s="7" t="s">
        <v>207</v>
      </c>
      <c r="B114" s="8">
        <f t="shared" si="6"/>
        <v>8</v>
      </c>
      <c r="C114" s="8" t="s">
        <v>11</v>
      </c>
      <c r="D114" s="7">
        <v>0</v>
      </c>
      <c r="E114" s="6" t="s">
        <v>208</v>
      </c>
    </row>
    <row r="115" spans="1:5">
      <c r="A115" s="7" t="s">
        <v>209</v>
      </c>
      <c r="B115" s="8">
        <f t="shared" si="6"/>
        <v>16</v>
      </c>
      <c r="C115" s="8" t="s">
        <v>14</v>
      </c>
      <c r="D115" s="7">
        <v>0</v>
      </c>
      <c r="E115" s="6" t="s">
        <v>210</v>
      </c>
    </row>
    <row r="116" spans="1:5">
      <c r="A116" s="7" t="s">
        <v>211</v>
      </c>
      <c r="B116" s="8">
        <f t="shared" si="6"/>
        <v>32</v>
      </c>
      <c r="C116" s="8" t="s">
        <v>16</v>
      </c>
      <c r="D116" s="7">
        <v>0</v>
      </c>
      <c r="E116" s="6" t="s">
        <v>212</v>
      </c>
    </row>
    <row r="117" spans="1:5">
      <c r="A117" s="7" t="s">
        <v>213</v>
      </c>
      <c r="B117" s="8">
        <f t="shared" si="6"/>
        <v>64</v>
      </c>
      <c r="C117" s="8" t="s">
        <v>19</v>
      </c>
      <c r="D117" s="7">
        <v>0</v>
      </c>
      <c r="E117" s="6" t="s">
        <v>214</v>
      </c>
    </row>
    <row r="118" spans="1:5">
      <c r="A118" s="7" t="s">
        <v>215</v>
      </c>
      <c r="B118" s="8">
        <f t="shared" si="6"/>
        <v>128</v>
      </c>
      <c r="C118" s="8" t="s">
        <v>22</v>
      </c>
      <c r="D118" s="7">
        <v>0</v>
      </c>
      <c r="E118" s="6" t="s">
        <v>216</v>
      </c>
    </row>
    <row r="119" spans="1:5">
      <c r="A119" s="7" t="s">
        <v>217</v>
      </c>
      <c r="B119" s="8">
        <f t="shared" si="6"/>
        <v>256</v>
      </c>
      <c r="C119" s="8" t="s">
        <v>25</v>
      </c>
      <c r="D119" s="7">
        <v>0</v>
      </c>
      <c r="E119" s="6" t="s">
        <v>218</v>
      </c>
    </row>
    <row r="120" spans="1:5">
      <c r="A120" s="7" t="s">
        <v>219</v>
      </c>
      <c r="B120" s="8">
        <f t="shared" si="6"/>
        <v>512</v>
      </c>
      <c r="C120" s="8" t="s">
        <v>28</v>
      </c>
      <c r="D120" s="7">
        <v>0</v>
      </c>
      <c r="E120" s="6"/>
    </row>
    <row r="121" spans="1:5">
      <c r="A121" s="7" t="s">
        <v>220</v>
      </c>
      <c r="B121" s="8">
        <f t="shared" si="6"/>
        <v>1024</v>
      </c>
      <c r="C121" s="8" t="s">
        <v>31</v>
      </c>
      <c r="D121" s="7">
        <v>0</v>
      </c>
      <c r="E121" s="6"/>
    </row>
    <row r="122" spans="1:5">
      <c r="A122" s="7" t="s">
        <v>221</v>
      </c>
      <c r="B122" s="8">
        <f t="shared" si="6"/>
        <v>2048</v>
      </c>
      <c r="C122" s="8" t="s">
        <v>34</v>
      </c>
      <c r="D122" s="7">
        <v>0</v>
      </c>
      <c r="E122" s="6" t="s">
        <v>222</v>
      </c>
    </row>
    <row r="123" spans="1:5">
      <c r="A123" s="7" t="s">
        <v>223</v>
      </c>
      <c r="B123" s="8">
        <f t="shared" si="6"/>
        <v>4096</v>
      </c>
      <c r="C123" s="8" t="s">
        <v>37</v>
      </c>
      <c r="D123" s="7">
        <v>0</v>
      </c>
      <c r="E123" s="6" t="s">
        <v>224</v>
      </c>
    </row>
    <row r="124" spans="1:5">
      <c r="A124" s="7" t="s">
        <v>225</v>
      </c>
      <c r="B124" s="8">
        <f t="shared" si="6"/>
        <v>8192</v>
      </c>
      <c r="C124" s="8" t="s">
        <v>40</v>
      </c>
      <c r="D124" s="7">
        <v>0</v>
      </c>
      <c r="E124" s="6" t="s">
        <v>226</v>
      </c>
    </row>
    <row r="125" spans="1:5">
      <c r="A125" s="7" t="s">
        <v>227</v>
      </c>
      <c r="B125" s="8">
        <f t="shared" si="6"/>
        <v>16384</v>
      </c>
      <c r="C125" s="8" t="s">
        <v>43</v>
      </c>
      <c r="D125" s="7">
        <v>0</v>
      </c>
      <c r="E125" s="6" t="s">
        <v>228</v>
      </c>
    </row>
    <row r="126" spans="1:5">
      <c r="A126" s="7" t="s">
        <v>229</v>
      </c>
      <c r="B126" s="8">
        <f t="shared" si="6"/>
        <v>32768</v>
      </c>
      <c r="C126" s="8" t="s">
        <v>46</v>
      </c>
      <c r="D126" s="7">
        <v>0</v>
      </c>
      <c r="E126" s="6" t="s">
        <v>230</v>
      </c>
    </row>
    <row r="128" spans="1:5">
      <c r="A128" s="4" t="s">
        <v>231</v>
      </c>
      <c r="B128" s="5"/>
      <c r="C128" s="5"/>
      <c r="D128" s="4"/>
      <c r="E128" s="6"/>
    </row>
    <row r="129" spans="1:5">
      <c r="A129" s="7" t="s">
        <v>232</v>
      </c>
      <c r="B129" s="8"/>
      <c r="C129" s="8"/>
      <c r="D129" s="7"/>
      <c r="E129" s="6"/>
    </row>
    <row r="130" spans="1:5">
      <c r="A130" s="7" t="s">
        <v>233</v>
      </c>
      <c r="B130" s="8"/>
      <c r="C130" s="8"/>
      <c r="D130" s="7"/>
      <c r="E130" s="6"/>
    </row>
    <row r="131" spans="1:5">
      <c r="A131" s="7" t="s">
        <v>234</v>
      </c>
      <c r="B131" s="8"/>
      <c r="C131" s="8"/>
      <c r="D131" s="7"/>
      <c r="E131" s="6"/>
    </row>
    <row r="132" spans="1:5">
      <c r="A132" s="7" t="s">
        <v>235</v>
      </c>
      <c r="B132" s="8"/>
      <c r="C132" s="8"/>
      <c r="D132" s="7"/>
      <c r="E132" s="6"/>
    </row>
    <row r="133" spans="1:5">
      <c r="A133" s="7" t="s">
        <v>236</v>
      </c>
      <c r="B133" s="8"/>
      <c r="C133" s="8"/>
      <c r="D133" s="7"/>
      <c r="E133" s="6"/>
    </row>
    <row r="134" spans="1:5">
      <c r="A134" s="7" t="s">
        <v>237</v>
      </c>
      <c r="B134" s="8"/>
      <c r="C134" s="8"/>
      <c r="D134" s="7"/>
      <c r="E134" s="6"/>
    </row>
    <row r="135" spans="1:5">
      <c r="A135" s="7" t="s">
        <v>238</v>
      </c>
      <c r="B135" s="8"/>
      <c r="C135" s="8"/>
      <c r="D135" s="7"/>
      <c r="E135" s="6"/>
    </row>
    <row r="137" spans="1:5">
      <c r="A137" s="4" t="s">
        <v>239</v>
      </c>
      <c r="B137" s="5"/>
      <c r="C137" s="5" t="str">
        <f>DEC2HEX(IF((D138=1),(B138),0)+IF((D139=1),(B139),0)+IF((D140=1),(B140),0)+IF((D141=1),(B141),0)+IF((D142=1),(B142),0)+IF((D143=1),(B143),0)+IF((D144=1),(B144),0)+IF((D145=1),(B145),0)+IF((D146=1),(B146),0)+IF((D147=1),(B147),0)+IF((D148=1),(B148),0)+IF((D149=1),(B149),0)+IF((D150=1),(B150),0)+IF((D151=1),(B151),0)+IF((D152=1),(B152),0)+IF((D153=1),(B153),0))</f>
        <v>4000</v>
      </c>
      <c r="D137" s="4"/>
      <c r="E137" s="6"/>
    </row>
    <row r="138" spans="1:5">
      <c r="A138" s="7" t="s">
        <v>240</v>
      </c>
      <c r="B138" s="8">
        <v>1</v>
      </c>
      <c r="C138" s="8" t="s">
        <v>2</v>
      </c>
      <c r="D138" s="7">
        <v>0</v>
      </c>
      <c r="E138" s="6" t="s">
        <v>241</v>
      </c>
    </row>
    <row r="139" spans="1:5">
      <c r="A139" s="7" t="s">
        <v>242</v>
      </c>
      <c r="B139" s="8">
        <f t="shared" ref="B139:B153" si="7">B138*2</f>
        <v>2</v>
      </c>
      <c r="C139" s="8" t="s">
        <v>5</v>
      </c>
      <c r="D139" s="7">
        <v>0</v>
      </c>
      <c r="E139" s="6" t="s">
        <v>243</v>
      </c>
    </row>
    <row r="140" spans="1:5">
      <c r="A140" s="7" t="s">
        <v>244</v>
      </c>
      <c r="B140" s="8">
        <f t="shared" si="7"/>
        <v>4</v>
      </c>
      <c r="C140" s="8" t="s">
        <v>8</v>
      </c>
      <c r="D140" s="7">
        <v>0</v>
      </c>
      <c r="E140" s="6" t="s">
        <v>245</v>
      </c>
    </row>
    <row r="141" spans="1:5">
      <c r="A141" s="7" t="s">
        <v>246</v>
      </c>
      <c r="B141" s="8">
        <f t="shared" si="7"/>
        <v>8</v>
      </c>
      <c r="C141" s="8" t="s">
        <v>11</v>
      </c>
      <c r="D141" s="7">
        <v>0</v>
      </c>
      <c r="E141" s="6" t="s">
        <v>247</v>
      </c>
    </row>
    <row r="142" spans="1:5">
      <c r="A142" s="7" t="s">
        <v>248</v>
      </c>
      <c r="B142" s="8">
        <f t="shared" si="7"/>
        <v>16</v>
      </c>
      <c r="C142" s="8" t="s">
        <v>14</v>
      </c>
      <c r="D142" s="7">
        <v>0</v>
      </c>
      <c r="E142" s="6" t="s">
        <v>249</v>
      </c>
    </row>
    <row r="143" spans="1:5">
      <c r="A143" s="7" t="s">
        <v>250</v>
      </c>
      <c r="B143" s="8">
        <f t="shared" si="7"/>
        <v>32</v>
      </c>
      <c r="C143" s="8" t="s">
        <v>16</v>
      </c>
      <c r="D143" s="7">
        <v>0</v>
      </c>
      <c r="E143" s="6" t="s">
        <v>251</v>
      </c>
    </row>
    <row r="144" spans="1:5">
      <c r="A144" s="7" t="s">
        <v>252</v>
      </c>
      <c r="B144" s="8">
        <f t="shared" si="7"/>
        <v>64</v>
      </c>
      <c r="C144" s="8" t="s">
        <v>19</v>
      </c>
      <c r="D144" s="7">
        <v>0</v>
      </c>
      <c r="E144" s="6" t="s">
        <v>253</v>
      </c>
    </row>
    <row r="145" ht="28" spans="1:5">
      <c r="A145" s="7" t="s">
        <v>254</v>
      </c>
      <c r="B145" s="8">
        <f t="shared" si="7"/>
        <v>128</v>
      </c>
      <c r="C145" s="8" t="s">
        <v>22</v>
      </c>
      <c r="D145" s="7">
        <v>0</v>
      </c>
      <c r="E145" s="6" t="s">
        <v>255</v>
      </c>
    </row>
    <row r="146" spans="1:5">
      <c r="A146" s="7" t="s">
        <v>256</v>
      </c>
      <c r="B146" s="8">
        <f t="shared" si="7"/>
        <v>256</v>
      </c>
      <c r="C146" s="8" t="s">
        <v>25</v>
      </c>
      <c r="D146" s="7">
        <v>0</v>
      </c>
      <c r="E146" s="6" t="s">
        <v>257</v>
      </c>
    </row>
    <row r="147" spans="1:5">
      <c r="A147" s="7" t="s">
        <v>258</v>
      </c>
      <c r="B147" s="8">
        <f t="shared" si="7"/>
        <v>512</v>
      </c>
      <c r="C147" s="8" t="s">
        <v>28</v>
      </c>
      <c r="D147" s="7">
        <v>0</v>
      </c>
      <c r="E147" s="6" t="s">
        <v>259</v>
      </c>
    </row>
    <row r="148" spans="1:5">
      <c r="A148" s="7" t="s">
        <v>260</v>
      </c>
      <c r="B148" s="8">
        <f t="shared" si="7"/>
        <v>1024</v>
      </c>
      <c r="C148" s="8" t="s">
        <v>31</v>
      </c>
      <c r="D148" s="7">
        <v>0</v>
      </c>
      <c r="E148" s="6"/>
    </row>
    <row r="149" spans="1:5">
      <c r="A149" s="7" t="s">
        <v>261</v>
      </c>
      <c r="B149" s="8">
        <f t="shared" si="7"/>
        <v>2048</v>
      </c>
      <c r="C149" s="8" t="s">
        <v>34</v>
      </c>
      <c r="D149" s="7">
        <v>0</v>
      </c>
      <c r="E149" s="6" t="s">
        <v>262</v>
      </c>
    </row>
    <row r="150" spans="1:5">
      <c r="A150" s="7" t="s">
        <v>263</v>
      </c>
      <c r="B150" s="8">
        <f t="shared" si="7"/>
        <v>4096</v>
      </c>
      <c r="C150" s="8" t="s">
        <v>37</v>
      </c>
      <c r="D150" s="7">
        <v>0</v>
      </c>
      <c r="E150" s="6" t="s">
        <v>264</v>
      </c>
    </row>
    <row r="151" spans="1:5">
      <c r="A151" s="7" t="s">
        <v>265</v>
      </c>
      <c r="B151" s="8">
        <f t="shared" si="7"/>
        <v>8192</v>
      </c>
      <c r="C151" s="8" t="s">
        <v>40</v>
      </c>
      <c r="D151" s="7">
        <v>0</v>
      </c>
      <c r="E151" s="6" t="s">
        <v>266</v>
      </c>
    </row>
    <row r="152" spans="1:5">
      <c r="A152" s="7" t="s">
        <v>267</v>
      </c>
      <c r="B152" s="8">
        <f t="shared" si="7"/>
        <v>16384</v>
      </c>
      <c r="C152" s="8" t="s">
        <v>43</v>
      </c>
      <c r="D152" s="9">
        <v>1</v>
      </c>
      <c r="E152" s="6" t="s">
        <v>268</v>
      </c>
    </row>
    <row r="153" spans="1:5">
      <c r="A153" s="7" t="s">
        <v>269</v>
      </c>
      <c r="B153" s="8">
        <f t="shared" si="7"/>
        <v>32768</v>
      </c>
      <c r="C153" s="8" t="s">
        <v>46</v>
      </c>
      <c r="D153" s="7">
        <v>0</v>
      </c>
      <c r="E153" s="6" t="s">
        <v>270</v>
      </c>
    </row>
    <row r="155" spans="1:5">
      <c r="A155" s="4" t="s">
        <v>271</v>
      </c>
      <c r="B155" s="5"/>
      <c r="C155" s="5" t="str">
        <f>DEC2HEX(IF((D156=1),(B156),0)+IF((D157=1),(B157),0)+IF((D158=1),(B158),0)+IF((D159=1),(B159),0)+IF((D160=1),(B160),0)+IF((D161=1),(B161),0)+IF((D162=1),(B162),0)+IF((D163=1),(B163),0)+IF((D164=1),(B164),0)+IF((D165=1),(B165),0)+IF((D166=1),(B166),0)+IF((D167=1),(B167),0)+IF((D168=1),(B168),0)+IF((D169=1),(B169),0)+IF((D170=1),(B170),0)+IF((D171=1),(B171),0))</f>
        <v>0</v>
      </c>
      <c r="D155" s="4"/>
      <c r="E155" s="6"/>
    </row>
    <row r="156" spans="1:5">
      <c r="A156" s="7" t="s">
        <v>272</v>
      </c>
      <c r="B156" s="8">
        <v>1</v>
      </c>
      <c r="C156" s="8" t="s">
        <v>2</v>
      </c>
      <c r="D156" s="7">
        <v>0</v>
      </c>
      <c r="E156" s="6" t="s">
        <v>273</v>
      </c>
    </row>
    <row r="157" spans="1:5">
      <c r="A157" s="7" t="s">
        <v>274</v>
      </c>
      <c r="B157" s="8">
        <f t="shared" ref="B157:B171" si="8">B156*2</f>
        <v>2</v>
      </c>
      <c r="C157" s="8" t="s">
        <v>5</v>
      </c>
      <c r="D157" s="7">
        <v>0</v>
      </c>
      <c r="E157" s="6" t="s">
        <v>275</v>
      </c>
    </row>
    <row r="158" spans="1:5">
      <c r="A158" s="7" t="s">
        <v>276</v>
      </c>
      <c r="B158" s="8">
        <f t="shared" si="8"/>
        <v>4</v>
      </c>
      <c r="C158" s="8" t="s">
        <v>8</v>
      </c>
      <c r="D158" s="7">
        <v>0</v>
      </c>
      <c r="E158" s="6" t="s">
        <v>277</v>
      </c>
    </row>
    <row r="159" spans="1:5">
      <c r="A159" s="7" t="s">
        <v>278</v>
      </c>
      <c r="B159" s="8">
        <f t="shared" si="8"/>
        <v>8</v>
      </c>
      <c r="C159" s="8" t="s">
        <v>11</v>
      </c>
      <c r="D159" s="7">
        <v>0</v>
      </c>
      <c r="E159" s="6"/>
    </row>
    <row r="160" spans="1:5">
      <c r="A160" s="7" t="s">
        <v>279</v>
      </c>
      <c r="B160" s="8">
        <f t="shared" si="8"/>
        <v>16</v>
      </c>
      <c r="C160" s="8" t="s">
        <v>14</v>
      </c>
      <c r="D160" s="7">
        <v>0</v>
      </c>
      <c r="E160" s="6"/>
    </row>
    <row r="161" spans="1:5">
      <c r="A161" s="7" t="s">
        <v>280</v>
      </c>
      <c r="B161" s="8">
        <f t="shared" si="8"/>
        <v>32</v>
      </c>
      <c r="C161" s="8" t="s">
        <v>16</v>
      </c>
      <c r="D161" s="7">
        <v>0</v>
      </c>
      <c r="E161" s="6" t="s">
        <v>281</v>
      </c>
    </row>
    <row r="162" spans="1:5">
      <c r="A162" s="7" t="s">
        <v>282</v>
      </c>
      <c r="B162" s="8">
        <f t="shared" si="8"/>
        <v>64</v>
      </c>
      <c r="C162" s="8" t="s">
        <v>19</v>
      </c>
      <c r="D162" s="7">
        <v>0</v>
      </c>
      <c r="E162" s="6" t="s">
        <v>283</v>
      </c>
    </row>
    <row r="163" spans="1:5">
      <c r="A163" s="7" t="s">
        <v>284</v>
      </c>
      <c r="B163" s="8">
        <f t="shared" si="8"/>
        <v>128</v>
      </c>
      <c r="C163" s="8" t="s">
        <v>22</v>
      </c>
      <c r="D163" s="7">
        <v>0</v>
      </c>
      <c r="E163" s="6" t="s">
        <v>285</v>
      </c>
    </row>
    <row r="164" spans="1:5">
      <c r="A164" s="7" t="s">
        <v>286</v>
      </c>
      <c r="B164" s="8">
        <f t="shared" si="8"/>
        <v>256</v>
      </c>
      <c r="C164" s="8" t="s">
        <v>25</v>
      </c>
      <c r="D164" s="7">
        <v>0</v>
      </c>
      <c r="E164" s="6"/>
    </row>
    <row r="165" spans="1:5">
      <c r="A165" s="7" t="s">
        <v>287</v>
      </c>
      <c r="B165" s="8">
        <f t="shared" si="8"/>
        <v>512</v>
      </c>
      <c r="C165" s="8" t="s">
        <v>28</v>
      </c>
      <c r="D165" s="7">
        <v>0</v>
      </c>
      <c r="E165" s="6" t="s">
        <v>288</v>
      </c>
    </row>
    <row r="166" spans="1:5">
      <c r="A166" s="7" t="s">
        <v>289</v>
      </c>
      <c r="B166" s="8">
        <f t="shared" si="8"/>
        <v>1024</v>
      </c>
      <c r="C166" s="8" t="s">
        <v>31</v>
      </c>
      <c r="D166" s="7">
        <v>0</v>
      </c>
      <c r="E166" s="6" t="s">
        <v>290</v>
      </c>
    </row>
    <row r="167" spans="1:5">
      <c r="A167" s="7" t="s">
        <v>291</v>
      </c>
      <c r="B167" s="8">
        <f t="shared" si="8"/>
        <v>2048</v>
      </c>
      <c r="C167" s="8" t="s">
        <v>34</v>
      </c>
      <c r="D167" s="7">
        <v>0</v>
      </c>
      <c r="E167" s="6"/>
    </row>
    <row r="168" spans="1:5">
      <c r="A168" s="7" t="s">
        <v>292</v>
      </c>
      <c r="B168" s="8">
        <f t="shared" si="8"/>
        <v>4096</v>
      </c>
      <c r="C168" s="8" t="s">
        <v>37</v>
      </c>
      <c r="D168" s="7">
        <v>0</v>
      </c>
      <c r="E168" s="6"/>
    </row>
    <row r="169" spans="1:5">
      <c r="A169" s="7" t="s">
        <v>293</v>
      </c>
      <c r="B169" s="8">
        <f t="shared" si="8"/>
        <v>8192</v>
      </c>
      <c r="C169" s="8" t="s">
        <v>40</v>
      </c>
      <c r="D169" s="7">
        <v>0</v>
      </c>
      <c r="E169" s="6" t="s">
        <v>294</v>
      </c>
    </row>
    <row r="170" spans="1:5">
      <c r="A170" s="7" t="s">
        <v>295</v>
      </c>
      <c r="B170" s="8">
        <f t="shared" si="8"/>
        <v>16384</v>
      </c>
      <c r="C170" s="8" t="s">
        <v>43</v>
      </c>
      <c r="D170" s="7">
        <v>0</v>
      </c>
      <c r="E170" s="6" t="s">
        <v>296</v>
      </c>
    </row>
    <row r="171" spans="1:5">
      <c r="A171" s="7" t="s">
        <v>297</v>
      </c>
      <c r="B171" s="8">
        <f t="shared" si="8"/>
        <v>32768</v>
      </c>
      <c r="C171" s="8" t="s">
        <v>46</v>
      </c>
      <c r="D171" s="7">
        <v>0</v>
      </c>
      <c r="E171" s="6" t="s">
        <v>298</v>
      </c>
    </row>
    <row r="173" spans="1:5">
      <c r="A173" s="4" t="s">
        <v>299</v>
      </c>
      <c r="B173" s="5"/>
      <c r="C173" s="5" t="str">
        <f>DEC2HEX(IF((D174=1),(B174),0)+IF((D175=1),(B175),0)+IF((D176=1),(B176),0)+IF((D177=1),(B177),0)+IF((D178=1),(B178),0)+IF((D179=1),(B179),0)+IF((D180=1),(B180),0)+IF((D181=1),(B181),0)+IF((D182=1),(B182),0)+IF((D183=1),(B183),0)+IF((D184=1),(B184),0)+IF((D185=1),(B185),0)+IF((D186=1),(B186),0)+IF((D187=1),(B187),0)+IF((D188=1),(B188),0)+IF((D189=1),(B189),0))</f>
        <v>4000</v>
      </c>
      <c r="D173" s="4"/>
      <c r="E173" s="6"/>
    </row>
    <row r="174" spans="1:5">
      <c r="A174" s="7" t="s">
        <v>300</v>
      </c>
      <c r="B174" s="8">
        <v>1</v>
      </c>
      <c r="C174" s="8" t="s">
        <v>2</v>
      </c>
      <c r="D174" s="7">
        <v>0</v>
      </c>
      <c r="E174" s="6" t="s">
        <v>301</v>
      </c>
    </row>
    <row r="175" spans="1:5">
      <c r="A175" s="7" t="s">
        <v>302</v>
      </c>
      <c r="B175" s="8">
        <f t="shared" ref="B175:B189" si="9">B174*2</f>
        <v>2</v>
      </c>
      <c r="C175" s="8" t="s">
        <v>5</v>
      </c>
      <c r="D175" s="7">
        <v>0</v>
      </c>
      <c r="E175" s="6" t="s">
        <v>303</v>
      </c>
    </row>
    <row r="176" spans="1:5">
      <c r="A176" s="7" t="s">
        <v>304</v>
      </c>
      <c r="B176" s="8">
        <f t="shared" si="9"/>
        <v>4</v>
      </c>
      <c r="C176" s="8" t="s">
        <v>8</v>
      </c>
      <c r="D176" s="7">
        <v>0</v>
      </c>
      <c r="E176" s="6" t="s">
        <v>305</v>
      </c>
    </row>
    <row r="177" spans="1:5">
      <c r="A177" s="7" t="s">
        <v>306</v>
      </c>
      <c r="B177" s="8">
        <f t="shared" si="9"/>
        <v>8</v>
      </c>
      <c r="C177" s="8" t="s">
        <v>11</v>
      </c>
      <c r="D177" s="7">
        <v>0</v>
      </c>
      <c r="E177" s="6"/>
    </row>
    <row r="178" spans="1:5">
      <c r="A178" s="7" t="s">
        <v>307</v>
      </c>
      <c r="B178" s="8">
        <f t="shared" si="9"/>
        <v>16</v>
      </c>
      <c r="C178" s="8" t="s">
        <v>14</v>
      </c>
      <c r="D178" s="7">
        <v>0</v>
      </c>
      <c r="E178" s="6" t="s">
        <v>308</v>
      </c>
    </row>
    <row r="179" spans="1:5">
      <c r="A179" s="7" t="s">
        <v>309</v>
      </c>
      <c r="B179" s="8">
        <f t="shared" si="9"/>
        <v>32</v>
      </c>
      <c r="C179" s="8" t="s">
        <v>16</v>
      </c>
      <c r="D179" s="7">
        <v>0</v>
      </c>
      <c r="E179" s="6" t="s">
        <v>310</v>
      </c>
    </row>
    <row r="180" spans="1:5">
      <c r="A180" s="7" t="s">
        <v>311</v>
      </c>
      <c r="B180" s="8">
        <f t="shared" si="9"/>
        <v>64</v>
      </c>
      <c r="C180" s="8" t="s">
        <v>19</v>
      </c>
      <c r="D180" s="7">
        <v>0</v>
      </c>
      <c r="E180" s="6" t="s">
        <v>312</v>
      </c>
    </row>
    <row r="181" spans="1:5">
      <c r="A181" s="7" t="s">
        <v>313</v>
      </c>
      <c r="B181" s="8">
        <f t="shared" si="9"/>
        <v>128</v>
      </c>
      <c r="C181" s="8" t="s">
        <v>22</v>
      </c>
      <c r="D181" s="7">
        <v>0</v>
      </c>
      <c r="E181" s="6" t="s">
        <v>314</v>
      </c>
    </row>
    <row r="182" spans="1:5">
      <c r="A182" s="7" t="s">
        <v>315</v>
      </c>
      <c r="B182" s="8">
        <f t="shared" si="9"/>
        <v>256</v>
      </c>
      <c r="C182" s="8" t="s">
        <v>25</v>
      </c>
      <c r="D182" s="7">
        <v>0</v>
      </c>
      <c r="E182" s="6" t="s">
        <v>316</v>
      </c>
    </row>
    <row r="183" spans="1:5">
      <c r="A183" s="7" t="s">
        <v>317</v>
      </c>
      <c r="B183" s="8">
        <f t="shared" si="9"/>
        <v>512</v>
      </c>
      <c r="C183" s="8" t="s">
        <v>28</v>
      </c>
      <c r="D183" s="7">
        <v>0</v>
      </c>
      <c r="E183" s="6" t="s">
        <v>318</v>
      </c>
    </row>
    <row r="184" spans="1:5">
      <c r="A184" s="7" t="s">
        <v>319</v>
      </c>
      <c r="B184" s="8">
        <f t="shared" si="9"/>
        <v>1024</v>
      </c>
      <c r="C184" s="8" t="s">
        <v>31</v>
      </c>
      <c r="D184" s="7">
        <v>0</v>
      </c>
      <c r="E184" s="6"/>
    </row>
    <row r="185" spans="1:5">
      <c r="A185" s="7" t="s">
        <v>320</v>
      </c>
      <c r="B185" s="8">
        <f t="shared" si="9"/>
        <v>2048</v>
      </c>
      <c r="C185" s="8" t="s">
        <v>34</v>
      </c>
      <c r="D185" s="7">
        <v>0</v>
      </c>
      <c r="E185" s="6" t="s">
        <v>321</v>
      </c>
    </row>
    <row r="186" spans="1:5">
      <c r="A186" s="7" t="s">
        <v>322</v>
      </c>
      <c r="B186" s="8">
        <f t="shared" si="9"/>
        <v>4096</v>
      </c>
      <c r="C186" s="8" t="s">
        <v>37</v>
      </c>
      <c r="D186" s="7">
        <v>0</v>
      </c>
      <c r="E186" s="3" t="s">
        <v>323</v>
      </c>
    </row>
    <row r="187" spans="1:5">
      <c r="A187" s="7" t="s">
        <v>324</v>
      </c>
      <c r="B187" s="8">
        <f t="shared" si="9"/>
        <v>8192</v>
      </c>
      <c r="C187" s="8" t="s">
        <v>40</v>
      </c>
      <c r="D187" s="7">
        <v>0</v>
      </c>
      <c r="E187" s="6" t="s">
        <v>325</v>
      </c>
    </row>
    <row r="188" spans="1:5">
      <c r="A188" s="7" t="s">
        <v>326</v>
      </c>
      <c r="B188" s="8">
        <f t="shared" si="9"/>
        <v>16384</v>
      </c>
      <c r="C188" s="8" t="s">
        <v>43</v>
      </c>
      <c r="D188" s="9">
        <v>1</v>
      </c>
      <c r="E188" s="6" t="s">
        <v>327</v>
      </c>
    </row>
    <row r="189" spans="1:5">
      <c r="A189" s="7" t="s">
        <v>328</v>
      </c>
      <c r="B189" s="8">
        <f t="shared" si="9"/>
        <v>32768</v>
      </c>
      <c r="C189" s="8" t="s">
        <v>46</v>
      </c>
      <c r="D189" s="7">
        <v>0</v>
      </c>
      <c r="E189" s="6" t="s">
        <v>329</v>
      </c>
    </row>
    <row r="191" spans="1:5">
      <c r="A191" s="4" t="s">
        <v>330</v>
      </c>
      <c r="B191" s="5"/>
      <c r="C191" s="5" t="str">
        <f>DEC2HEX(IF((D192=1),(B192),0)+IF((D193=1),(B193),0)+IF((D194=1),(B194),0)+IF((D195=1),(B195),0)+IF((D196=1),(B196),0)+IF((D197=1),(B197),0)+IF((D198=1),(B198),0)+IF((D199=1),(B199),0)+IF((D200=1),(B200),0)+IF((D201=1),(B201),0)+IF((D202=1),(B202),0)+IF((D203=1),(B203),0)+IF((D204=1),(B204),0)+IF((D205=1),(B205),0)+IF((D206=1),(B206),0)+IF((D207=1),(B207),0))</f>
        <v>4</v>
      </c>
      <c r="D191" s="4"/>
      <c r="E191" s="6"/>
    </row>
    <row r="192" spans="1:5">
      <c r="A192" s="7" t="s">
        <v>331</v>
      </c>
      <c r="B192" s="8">
        <v>1</v>
      </c>
      <c r="C192" s="8" t="s">
        <v>2</v>
      </c>
      <c r="D192" s="7">
        <v>0</v>
      </c>
      <c r="E192" s="6" t="s">
        <v>332</v>
      </c>
    </row>
    <row r="193" spans="1:5">
      <c r="A193" s="7" t="s">
        <v>333</v>
      </c>
      <c r="B193" s="8">
        <f t="shared" ref="B193:B207" si="10">B192*2</f>
        <v>2</v>
      </c>
      <c r="C193" s="8" t="s">
        <v>5</v>
      </c>
      <c r="D193" s="7">
        <v>0</v>
      </c>
      <c r="E193" s="6"/>
    </row>
    <row r="194" spans="1:5">
      <c r="A194" s="7" t="s">
        <v>334</v>
      </c>
      <c r="B194" s="8">
        <f t="shared" si="10"/>
        <v>4</v>
      </c>
      <c r="C194" s="8" t="s">
        <v>8</v>
      </c>
      <c r="D194" s="9">
        <v>1</v>
      </c>
      <c r="E194" s="6" t="s">
        <v>335</v>
      </c>
    </row>
    <row r="195" spans="1:5">
      <c r="A195" s="7" t="s">
        <v>336</v>
      </c>
      <c r="B195" s="8">
        <f t="shared" si="10"/>
        <v>8</v>
      </c>
      <c r="C195" s="8" t="s">
        <v>11</v>
      </c>
      <c r="D195" s="7">
        <v>0</v>
      </c>
      <c r="E195" s="6" t="s">
        <v>337</v>
      </c>
    </row>
    <row r="196" spans="1:5">
      <c r="A196" s="7" t="s">
        <v>338</v>
      </c>
      <c r="B196" s="8">
        <f t="shared" si="10"/>
        <v>16</v>
      </c>
      <c r="C196" s="8" t="s">
        <v>14</v>
      </c>
      <c r="D196" s="7">
        <v>0</v>
      </c>
      <c r="E196" s="6" t="s">
        <v>339</v>
      </c>
    </row>
    <row r="197" spans="1:5">
      <c r="A197" s="7" t="s">
        <v>340</v>
      </c>
      <c r="B197" s="8">
        <f t="shared" si="10"/>
        <v>32</v>
      </c>
      <c r="C197" s="8" t="s">
        <v>16</v>
      </c>
      <c r="D197" s="7">
        <v>0</v>
      </c>
      <c r="E197" s="6" t="s">
        <v>341</v>
      </c>
    </row>
    <row r="198" spans="1:5">
      <c r="A198" s="7" t="s">
        <v>342</v>
      </c>
      <c r="B198" s="8">
        <f t="shared" si="10"/>
        <v>64</v>
      </c>
      <c r="C198" s="8" t="s">
        <v>19</v>
      </c>
      <c r="D198" s="7">
        <v>0</v>
      </c>
      <c r="E198" s="6" t="s">
        <v>343</v>
      </c>
    </row>
    <row r="199" spans="1:5">
      <c r="A199" s="7" t="s">
        <v>344</v>
      </c>
      <c r="B199" s="8">
        <f t="shared" si="10"/>
        <v>128</v>
      </c>
      <c r="C199" s="8" t="s">
        <v>22</v>
      </c>
      <c r="D199" s="7">
        <v>0</v>
      </c>
      <c r="E199" s="6" t="s">
        <v>345</v>
      </c>
    </row>
    <row r="200" spans="1:5">
      <c r="A200" s="7" t="s">
        <v>346</v>
      </c>
      <c r="B200" s="8">
        <f t="shared" si="10"/>
        <v>256</v>
      </c>
      <c r="C200" s="8" t="s">
        <v>25</v>
      </c>
      <c r="D200" s="7">
        <v>0</v>
      </c>
      <c r="E200" s="6" t="s">
        <v>347</v>
      </c>
    </row>
    <row r="201" spans="1:5">
      <c r="A201" s="7" t="s">
        <v>348</v>
      </c>
      <c r="B201" s="8">
        <f t="shared" si="10"/>
        <v>512</v>
      </c>
      <c r="C201" s="8" t="s">
        <v>28</v>
      </c>
      <c r="D201" s="7">
        <v>0</v>
      </c>
      <c r="E201" s="6" t="s">
        <v>349</v>
      </c>
    </row>
    <row r="202" spans="1:5">
      <c r="A202" s="7" t="s">
        <v>350</v>
      </c>
      <c r="B202" s="8">
        <f t="shared" si="10"/>
        <v>1024</v>
      </c>
      <c r="C202" s="8" t="s">
        <v>31</v>
      </c>
      <c r="D202" s="7">
        <v>0</v>
      </c>
      <c r="E202" s="6" t="s">
        <v>351</v>
      </c>
    </row>
    <row r="203" spans="1:5">
      <c r="A203" s="7" t="s">
        <v>352</v>
      </c>
      <c r="B203" s="8">
        <f t="shared" si="10"/>
        <v>2048</v>
      </c>
      <c r="C203" s="8" t="s">
        <v>34</v>
      </c>
      <c r="D203" s="7">
        <v>0</v>
      </c>
      <c r="E203" s="6" t="s">
        <v>353</v>
      </c>
    </row>
    <row r="204" spans="1:5">
      <c r="A204" s="7" t="s">
        <v>354</v>
      </c>
      <c r="B204" s="8">
        <f t="shared" si="10"/>
        <v>4096</v>
      </c>
      <c r="C204" s="8" t="s">
        <v>37</v>
      </c>
      <c r="D204" s="7">
        <v>0</v>
      </c>
      <c r="E204" s="6" t="s">
        <v>355</v>
      </c>
    </row>
    <row r="205" spans="1:5">
      <c r="A205" s="7" t="s">
        <v>356</v>
      </c>
      <c r="B205" s="8">
        <f t="shared" si="10"/>
        <v>8192</v>
      </c>
      <c r="C205" s="8" t="s">
        <v>40</v>
      </c>
      <c r="D205" s="7">
        <v>0</v>
      </c>
      <c r="E205" s="6" t="s">
        <v>357</v>
      </c>
    </row>
    <row r="206" spans="1:5">
      <c r="A206" s="7" t="s">
        <v>358</v>
      </c>
      <c r="B206" s="8">
        <f t="shared" si="10"/>
        <v>16384</v>
      </c>
      <c r="C206" s="8" t="s">
        <v>43</v>
      </c>
      <c r="D206" s="7">
        <v>0</v>
      </c>
      <c r="E206" s="6" t="s">
        <v>359</v>
      </c>
    </row>
    <row r="207" spans="1:5">
      <c r="A207" s="7" t="s">
        <v>360</v>
      </c>
      <c r="B207" s="8">
        <f t="shared" si="10"/>
        <v>32768</v>
      </c>
      <c r="C207" s="8" t="s">
        <v>46</v>
      </c>
      <c r="D207" s="7">
        <v>0</v>
      </c>
      <c r="E207" s="6" t="s">
        <v>361</v>
      </c>
    </row>
    <row r="209" spans="1:5">
      <c r="A209" s="4" t="s">
        <v>362</v>
      </c>
      <c r="B209" s="5"/>
      <c r="C209" s="5" t="str">
        <f>DEC2HEX(IF((D210=1),(B210),0)+IF((D211=1),(B211),0)+IF((D212=1),(B212),0)+IF((D213=1),(B213),0)+IF((D214=1),(B214),0)+IF((D215=1),(B215),0)+IF((D216=1),(B216),0)+IF((D217=1),(B217),0)+IF((D218=1),(B218),0)+IF((D219=1),(B219),0)+IF((D220=1),(B220),0)+IF((D221=1),(B221),0)+IF((D222=1),(B222),0)+IF((D223=1),(B223),0)+IF((D224=1),(B224),0)+IF((D225=1),(B225),0))</f>
        <v>80</v>
      </c>
      <c r="D209" s="4"/>
      <c r="E209" s="6"/>
    </row>
    <row r="210" spans="1:5">
      <c r="A210" s="7" t="s">
        <v>363</v>
      </c>
      <c r="B210" s="8">
        <v>1</v>
      </c>
      <c r="C210" s="8" t="s">
        <v>2</v>
      </c>
      <c r="D210" s="7">
        <v>0</v>
      </c>
      <c r="E210" s="6"/>
    </row>
    <row r="211" spans="1:5">
      <c r="A211" s="7" t="s">
        <v>364</v>
      </c>
      <c r="B211" s="8">
        <f t="shared" ref="B211:B225" si="11">B210*2</f>
        <v>2</v>
      </c>
      <c r="C211" s="8" t="s">
        <v>5</v>
      </c>
      <c r="D211" s="7">
        <v>0</v>
      </c>
      <c r="E211" s="6"/>
    </row>
    <row r="212" spans="1:5">
      <c r="A212" s="7" t="s">
        <v>365</v>
      </c>
      <c r="B212" s="8">
        <f t="shared" si="11"/>
        <v>4</v>
      </c>
      <c r="C212" s="8" t="s">
        <v>8</v>
      </c>
      <c r="D212" s="7">
        <v>0</v>
      </c>
      <c r="E212" s="6" t="s">
        <v>366</v>
      </c>
    </row>
    <row r="213" spans="1:5">
      <c r="A213" s="7" t="s">
        <v>367</v>
      </c>
      <c r="B213" s="8">
        <f t="shared" si="11"/>
        <v>8</v>
      </c>
      <c r="C213" s="8" t="s">
        <v>11</v>
      </c>
      <c r="D213" s="7">
        <v>0</v>
      </c>
      <c r="E213" s="6"/>
    </row>
    <row r="214" spans="1:5">
      <c r="A214" s="7" t="s">
        <v>368</v>
      </c>
      <c r="B214" s="8">
        <f t="shared" si="11"/>
        <v>16</v>
      </c>
      <c r="C214" s="8" t="s">
        <v>14</v>
      </c>
      <c r="D214" s="7">
        <v>0</v>
      </c>
      <c r="E214" s="6" t="s">
        <v>369</v>
      </c>
    </row>
    <row r="215" spans="1:5">
      <c r="A215" s="7" t="s">
        <v>370</v>
      </c>
      <c r="B215" s="8">
        <f t="shared" si="11"/>
        <v>32</v>
      </c>
      <c r="C215" s="8" t="s">
        <v>16</v>
      </c>
      <c r="D215" s="7">
        <v>0</v>
      </c>
      <c r="E215" s="6" t="s">
        <v>371</v>
      </c>
    </row>
    <row r="216" spans="1:5">
      <c r="A216" s="7" t="s">
        <v>372</v>
      </c>
      <c r="B216" s="8">
        <f t="shared" si="11"/>
        <v>64</v>
      </c>
      <c r="C216" s="8" t="s">
        <v>19</v>
      </c>
      <c r="D216" s="7">
        <v>0</v>
      </c>
      <c r="E216" s="6"/>
    </row>
    <row r="217" spans="1:5">
      <c r="A217" s="7" t="s">
        <v>373</v>
      </c>
      <c r="B217" s="8">
        <f t="shared" si="11"/>
        <v>128</v>
      </c>
      <c r="C217" s="8" t="s">
        <v>22</v>
      </c>
      <c r="D217" s="9">
        <v>1</v>
      </c>
      <c r="E217" s="6" t="s">
        <v>374</v>
      </c>
    </row>
    <row r="218" spans="1:5">
      <c r="A218" s="7" t="s">
        <v>375</v>
      </c>
      <c r="B218" s="8">
        <f t="shared" si="11"/>
        <v>256</v>
      </c>
      <c r="C218" s="8" t="s">
        <v>25</v>
      </c>
      <c r="D218" s="7">
        <v>0</v>
      </c>
      <c r="E218" s="6" t="s">
        <v>376</v>
      </c>
    </row>
    <row r="219" spans="1:5">
      <c r="A219" s="7" t="s">
        <v>377</v>
      </c>
      <c r="B219" s="8">
        <f t="shared" si="11"/>
        <v>512</v>
      </c>
      <c r="C219" s="8" t="s">
        <v>28</v>
      </c>
      <c r="D219" s="7">
        <v>0</v>
      </c>
      <c r="E219" s="6" t="s">
        <v>378</v>
      </c>
    </row>
    <row r="220" spans="1:5">
      <c r="A220" s="7" t="s">
        <v>379</v>
      </c>
      <c r="B220" s="8">
        <f t="shared" si="11"/>
        <v>1024</v>
      </c>
      <c r="C220" s="8" t="s">
        <v>31</v>
      </c>
      <c r="D220" s="7">
        <v>0</v>
      </c>
      <c r="E220" s="6" t="s">
        <v>380</v>
      </c>
    </row>
    <row r="221" spans="1:5">
      <c r="A221" s="7" t="s">
        <v>381</v>
      </c>
      <c r="B221" s="8">
        <f t="shared" si="11"/>
        <v>2048</v>
      </c>
      <c r="C221" s="8" t="s">
        <v>34</v>
      </c>
      <c r="D221" s="7">
        <v>0</v>
      </c>
      <c r="E221" s="6" t="s">
        <v>382</v>
      </c>
    </row>
    <row r="222" spans="1:5">
      <c r="A222" s="7" t="s">
        <v>383</v>
      </c>
      <c r="B222" s="8">
        <f t="shared" si="11"/>
        <v>4096</v>
      </c>
      <c r="C222" s="8" t="s">
        <v>37</v>
      </c>
      <c r="D222" s="7">
        <v>0</v>
      </c>
      <c r="E222" s="6" t="s">
        <v>384</v>
      </c>
    </row>
    <row r="223" spans="1:5">
      <c r="A223" s="7" t="s">
        <v>385</v>
      </c>
      <c r="B223" s="8">
        <f t="shared" si="11"/>
        <v>8192</v>
      </c>
      <c r="C223" s="8" t="s">
        <v>40</v>
      </c>
      <c r="D223" s="7">
        <v>0</v>
      </c>
      <c r="E223" s="6" t="s">
        <v>386</v>
      </c>
    </row>
    <row r="224" spans="1:5">
      <c r="A224" s="7" t="s">
        <v>387</v>
      </c>
      <c r="B224" s="8">
        <f t="shared" si="11"/>
        <v>16384</v>
      </c>
      <c r="C224" s="8" t="s">
        <v>43</v>
      </c>
      <c r="D224" s="7">
        <v>0</v>
      </c>
      <c r="E224" s="6" t="s">
        <v>388</v>
      </c>
    </row>
    <row r="225" spans="1:5">
      <c r="A225" s="7" t="s">
        <v>389</v>
      </c>
      <c r="B225" s="8">
        <f t="shared" si="11"/>
        <v>32768</v>
      </c>
      <c r="C225" s="8" t="s">
        <v>46</v>
      </c>
      <c r="D225" s="7">
        <v>0</v>
      </c>
      <c r="E225" s="6" t="s">
        <v>390</v>
      </c>
    </row>
    <row r="227" spans="1:5">
      <c r="A227" s="4" t="s">
        <v>391</v>
      </c>
      <c r="B227" s="5"/>
      <c r="C227" s="5" t="str">
        <f>DEC2HEX(IF((D228=1),(B228),0)+IF((D229=1),(B229),0)+IF((D230=1),(B230),0)+IF((D231=1),(B231),0)+IF((D232=1),(B232),0)+IF((D233=1),(B233),0)+IF((D234=1),(B234),0)+IF((D235=1),(B235),0)+IF((D236=1),(B236),0)+IF((D237=1),(B237),0)+IF((D238=1),(B238),0)+IF((D239=1),(B239),0)+IF((D240=1),(B240),0)+IF((D241=1),(B241),0)+IF((D242=1),(B242),0)+IF((D243=1),(B243),0))</f>
        <v>0</v>
      </c>
      <c r="D227" s="4"/>
      <c r="E227" s="6"/>
    </row>
    <row r="228" spans="1:5">
      <c r="A228" s="7" t="s">
        <v>392</v>
      </c>
      <c r="B228" s="8">
        <v>1</v>
      </c>
      <c r="C228" s="8" t="s">
        <v>2</v>
      </c>
      <c r="D228" s="7">
        <v>0</v>
      </c>
      <c r="E228" s="6"/>
    </row>
    <row r="229" spans="1:5">
      <c r="A229" s="7" t="s">
        <v>393</v>
      </c>
      <c r="B229" s="8">
        <f t="shared" ref="B229:B243" si="12">B228*2</f>
        <v>2</v>
      </c>
      <c r="C229" s="8" t="s">
        <v>5</v>
      </c>
      <c r="D229" s="7">
        <v>0</v>
      </c>
      <c r="E229" s="6"/>
    </row>
    <row r="230" spans="1:5">
      <c r="A230" s="7" t="s">
        <v>394</v>
      </c>
      <c r="B230" s="8">
        <f t="shared" si="12"/>
        <v>4</v>
      </c>
      <c r="C230" s="8" t="s">
        <v>8</v>
      </c>
      <c r="D230" s="7">
        <v>0</v>
      </c>
      <c r="E230" s="6" t="s">
        <v>395</v>
      </c>
    </row>
    <row r="231" spans="1:5">
      <c r="A231" s="7" t="s">
        <v>396</v>
      </c>
      <c r="B231" s="8">
        <f t="shared" si="12"/>
        <v>8</v>
      </c>
      <c r="C231" s="8" t="s">
        <v>11</v>
      </c>
      <c r="D231" s="7">
        <v>0</v>
      </c>
      <c r="E231" s="6" t="s">
        <v>397</v>
      </c>
    </row>
    <row r="232" spans="1:5">
      <c r="A232" s="7" t="s">
        <v>398</v>
      </c>
      <c r="B232" s="8">
        <f t="shared" si="12"/>
        <v>16</v>
      </c>
      <c r="C232" s="8" t="s">
        <v>14</v>
      </c>
      <c r="D232" s="7">
        <v>0</v>
      </c>
      <c r="E232" s="6" t="s">
        <v>399</v>
      </c>
    </row>
    <row r="233" spans="1:5">
      <c r="A233" s="7" t="s">
        <v>400</v>
      </c>
      <c r="B233" s="8">
        <f t="shared" si="12"/>
        <v>32</v>
      </c>
      <c r="C233" s="8" t="s">
        <v>16</v>
      </c>
      <c r="D233" s="7">
        <v>0</v>
      </c>
      <c r="E233" s="6"/>
    </row>
    <row r="234" spans="1:5">
      <c r="A234" s="7" t="s">
        <v>401</v>
      </c>
      <c r="B234" s="8">
        <f t="shared" si="12"/>
        <v>64</v>
      </c>
      <c r="C234" s="8" t="s">
        <v>19</v>
      </c>
      <c r="D234" s="7">
        <v>0</v>
      </c>
      <c r="E234" s="6" t="s">
        <v>402</v>
      </c>
    </row>
    <row r="235" spans="1:5">
      <c r="A235" s="7" t="s">
        <v>403</v>
      </c>
      <c r="B235" s="8">
        <f t="shared" si="12"/>
        <v>128</v>
      </c>
      <c r="C235" s="8" t="s">
        <v>22</v>
      </c>
      <c r="D235" s="7">
        <v>0</v>
      </c>
      <c r="E235" s="6" t="s">
        <v>404</v>
      </c>
    </row>
    <row r="236" spans="1:5">
      <c r="A236" s="7" t="s">
        <v>405</v>
      </c>
      <c r="B236" s="8">
        <f t="shared" si="12"/>
        <v>256</v>
      </c>
      <c r="C236" s="8" t="s">
        <v>25</v>
      </c>
      <c r="D236" s="7">
        <v>0</v>
      </c>
      <c r="E236" s="6" t="s">
        <v>406</v>
      </c>
    </row>
    <row r="237" spans="1:5">
      <c r="A237" s="7" t="s">
        <v>407</v>
      </c>
      <c r="B237" s="8">
        <f t="shared" si="12"/>
        <v>512</v>
      </c>
      <c r="C237" s="8" t="s">
        <v>28</v>
      </c>
      <c r="D237" s="7">
        <v>0</v>
      </c>
      <c r="E237" s="6" t="s">
        <v>408</v>
      </c>
    </row>
    <row r="238" spans="1:5">
      <c r="A238" s="7" t="s">
        <v>409</v>
      </c>
      <c r="B238" s="8">
        <f t="shared" si="12"/>
        <v>1024</v>
      </c>
      <c r="C238" s="8" t="s">
        <v>31</v>
      </c>
      <c r="D238" s="7">
        <v>0</v>
      </c>
      <c r="E238" s="6" t="s">
        <v>410</v>
      </c>
    </row>
    <row r="239" spans="1:5">
      <c r="A239" s="7" t="s">
        <v>411</v>
      </c>
      <c r="B239" s="8">
        <f t="shared" si="12"/>
        <v>2048</v>
      </c>
      <c r="C239" s="8" t="s">
        <v>34</v>
      </c>
      <c r="D239" s="7">
        <v>0</v>
      </c>
      <c r="E239" s="6" t="s">
        <v>412</v>
      </c>
    </row>
    <row r="240" spans="1:5">
      <c r="A240" s="7" t="s">
        <v>413</v>
      </c>
      <c r="B240" s="8">
        <f t="shared" si="12"/>
        <v>4096</v>
      </c>
      <c r="C240" s="8" t="s">
        <v>37</v>
      </c>
      <c r="D240" s="7">
        <v>0</v>
      </c>
      <c r="E240" s="6" t="s">
        <v>414</v>
      </c>
    </row>
    <row r="241" spans="1:5">
      <c r="A241" s="7" t="s">
        <v>415</v>
      </c>
      <c r="B241" s="8">
        <f t="shared" si="12"/>
        <v>8192</v>
      </c>
      <c r="C241" s="8" t="s">
        <v>40</v>
      </c>
      <c r="D241" s="7">
        <v>0</v>
      </c>
      <c r="E241" s="6"/>
    </row>
    <row r="242" spans="1:5">
      <c r="A242" s="7" t="s">
        <v>416</v>
      </c>
      <c r="B242" s="8">
        <f t="shared" si="12"/>
        <v>16384</v>
      </c>
      <c r="C242" s="8" t="s">
        <v>43</v>
      </c>
      <c r="D242" s="7">
        <v>0</v>
      </c>
      <c r="E242" s="6" t="s">
        <v>417</v>
      </c>
    </row>
    <row r="243" spans="1:5">
      <c r="A243" s="7" t="s">
        <v>418</v>
      </c>
      <c r="B243" s="8">
        <f t="shared" si="12"/>
        <v>32768</v>
      </c>
      <c r="C243" s="8" t="s">
        <v>46</v>
      </c>
      <c r="D243" s="7">
        <v>0</v>
      </c>
      <c r="E243" s="6" t="s">
        <v>419</v>
      </c>
    </row>
    <row r="245" spans="1:5">
      <c r="A245" s="4" t="s">
        <v>420</v>
      </c>
      <c r="B245" s="5"/>
      <c r="C245" s="5" t="str">
        <f>DEC2HEX(IF((D246=1),(B246),0)+IF((D247=1),(B247),0)+IF((D248=1),(B248),0)+IF((D249=1),(B249),0)+IF((D250=1),(B250),0)+IF((D251=1),(B251),0)+IF((D252=1),(B252),0)+IF((D253=1),(B253),0)+IF((D254=1),(B254),0)+IF((D255=1),(B255),0)+IF((D256=1),(B256),0)+IF((D257=1),(B257),0)+IF((D258=1),(B258),0)+IF((D259=1),(B259),0)+IF((D260=1),(B260),0)+IF((D261=1),(B261),0))</f>
        <v>0</v>
      </c>
      <c r="D245" s="4"/>
      <c r="E245" s="6"/>
    </row>
    <row r="246" spans="1:5">
      <c r="A246" s="7" t="s">
        <v>421</v>
      </c>
      <c r="B246" s="8">
        <v>1</v>
      </c>
      <c r="C246" s="8" t="s">
        <v>2</v>
      </c>
      <c r="D246" s="7">
        <v>0</v>
      </c>
      <c r="E246" s="6" t="s">
        <v>422</v>
      </c>
    </row>
    <row r="247" spans="1:5">
      <c r="A247" s="7" t="s">
        <v>423</v>
      </c>
      <c r="B247" s="8">
        <f t="shared" ref="B247:B261" si="13">B246*2</f>
        <v>2</v>
      </c>
      <c r="C247" s="8" t="s">
        <v>5</v>
      </c>
      <c r="D247" s="7">
        <v>0</v>
      </c>
      <c r="E247" s="6" t="s">
        <v>424</v>
      </c>
    </row>
    <row r="248" spans="1:5">
      <c r="A248" s="7" t="s">
        <v>425</v>
      </c>
      <c r="B248" s="8">
        <f t="shared" si="13"/>
        <v>4</v>
      </c>
      <c r="C248" s="8" t="s">
        <v>8</v>
      </c>
      <c r="D248" s="7">
        <v>0</v>
      </c>
      <c r="E248" s="6" t="s">
        <v>426</v>
      </c>
    </row>
    <row r="249" spans="1:5">
      <c r="A249" s="7" t="s">
        <v>427</v>
      </c>
      <c r="B249" s="8">
        <f t="shared" si="13"/>
        <v>8</v>
      </c>
      <c r="C249" s="8" t="s">
        <v>11</v>
      </c>
      <c r="D249" s="7">
        <v>0</v>
      </c>
      <c r="E249" s="6" t="s">
        <v>428</v>
      </c>
    </row>
    <row r="250" spans="1:5">
      <c r="A250" s="7" t="s">
        <v>429</v>
      </c>
      <c r="B250" s="8">
        <f t="shared" si="13"/>
        <v>16</v>
      </c>
      <c r="C250" s="8" t="s">
        <v>14</v>
      </c>
      <c r="D250" s="7">
        <v>0</v>
      </c>
      <c r="E250" s="6" t="s">
        <v>430</v>
      </c>
    </row>
    <row r="251" spans="1:5">
      <c r="A251" s="7" t="s">
        <v>431</v>
      </c>
      <c r="B251" s="8">
        <f t="shared" si="13"/>
        <v>32</v>
      </c>
      <c r="C251" s="8" t="s">
        <v>16</v>
      </c>
      <c r="D251" s="7">
        <v>0</v>
      </c>
      <c r="E251" s="6" t="s">
        <v>432</v>
      </c>
    </row>
    <row r="252" spans="1:5">
      <c r="A252" s="7" t="s">
        <v>433</v>
      </c>
      <c r="B252" s="8">
        <f t="shared" si="13"/>
        <v>64</v>
      </c>
      <c r="C252" s="8" t="s">
        <v>19</v>
      </c>
      <c r="D252" s="7">
        <v>0</v>
      </c>
      <c r="E252" s="6" t="s">
        <v>434</v>
      </c>
    </row>
    <row r="253" spans="1:5">
      <c r="A253" s="7" t="s">
        <v>435</v>
      </c>
      <c r="B253" s="8">
        <f t="shared" si="13"/>
        <v>128</v>
      </c>
      <c r="C253" s="8" t="s">
        <v>22</v>
      </c>
      <c r="D253" s="7">
        <v>0</v>
      </c>
      <c r="E253" s="6" t="s">
        <v>436</v>
      </c>
    </row>
    <row r="254" spans="1:5">
      <c r="A254" s="7" t="s">
        <v>437</v>
      </c>
      <c r="B254" s="8">
        <f t="shared" si="13"/>
        <v>256</v>
      </c>
      <c r="C254" s="8" t="s">
        <v>25</v>
      </c>
      <c r="D254" s="7">
        <v>0</v>
      </c>
      <c r="E254" s="6"/>
    </row>
    <row r="255" spans="1:5">
      <c r="A255" s="7" t="s">
        <v>438</v>
      </c>
      <c r="B255" s="8">
        <f t="shared" si="13"/>
        <v>512</v>
      </c>
      <c r="C255" s="8" t="s">
        <v>28</v>
      </c>
      <c r="D255" s="7">
        <v>0</v>
      </c>
      <c r="E255" s="6" t="s">
        <v>439</v>
      </c>
    </row>
    <row r="256" spans="1:5">
      <c r="A256" s="7" t="s">
        <v>440</v>
      </c>
      <c r="B256" s="8">
        <f t="shared" si="13"/>
        <v>1024</v>
      </c>
      <c r="C256" s="8" t="s">
        <v>31</v>
      </c>
      <c r="D256" s="7">
        <v>0</v>
      </c>
      <c r="E256" s="6"/>
    </row>
    <row r="257" spans="1:5">
      <c r="A257" s="7" t="s">
        <v>441</v>
      </c>
      <c r="B257" s="8">
        <f t="shared" si="13"/>
        <v>2048</v>
      </c>
      <c r="C257" s="8" t="s">
        <v>34</v>
      </c>
      <c r="D257" s="7">
        <v>0</v>
      </c>
      <c r="E257" s="6" t="s">
        <v>442</v>
      </c>
    </row>
    <row r="258" spans="1:5">
      <c r="A258" s="7" t="s">
        <v>443</v>
      </c>
      <c r="B258" s="8">
        <f t="shared" si="13"/>
        <v>4096</v>
      </c>
      <c r="C258" s="8" t="s">
        <v>37</v>
      </c>
      <c r="D258" s="7">
        <v>0</v>
      </c>
      <c r="E258" s="6" t="s">
        <v>444</v>
      </c>
    </row>
    <row r="259" spans="1:5">
      <c r="A259" s="7" t="s">
        <v>445</v>
      </c>
      <c r="B259" s="8">
        <f t="shared" si="13"/>
        <v>8192</v>
      </c>
      <c r="C259" s="8" t="s">
        <v>40</v>
      </c>
      <c r="D259" s="7">
        <v>0</v>
      </c>
      <c r="E259" s="6" t="s">
        <v>446</v>
      </c>
    </row>
    <row r="260" spans="1:5">
      <c r="A260" s="7" t="s">
        <v>447</v>
      </c>
      <c r="B260" s="8">
        <f t="shared" si="13"/>
        <v>16384</v>
      </c>
      <c r="C260" s="8" t="s">
        <v>43</v>
      </c>
      <c r="D260" s="7">
        <v>0</v>
      </c>
      <c r="E260" s="6"/>
    </row>
    <row r="261" spans="1:5">
      <c r="A261" s="7" t="s">
        <v>448</v>
      </c>
      <c r="B261" s="8">
        <f t="shared" si="13"/>
        <v>32768</v>
      </c>
      <c r="C261" s="8" t="s">
        <v>46</v>
      </c>
      <c r="D261" s="7">
        <v>0</v>
      </c>
      <c r="E261" s="6"/>
    </row>
    <row r="263" spans="1:5">
      <c r="A263" s="4" t="s">
        <v>449</v>
      </c>
      <c r="B263" s="5"/>
      <c r="C263" s="5" t="str">
        <f>DEC2HEX(IF((D264=1),(B264),0)+IF((D265=1),(B265),0)+IF((D266=1),(B266),0)+IF((D267=1),(B267),0)+IF((D268=1),(B268),0)+IF((D269=1),(B269),0)+IF((D270=1),(B270),0)+IF((D271=1),(B271),0)+IF((D272=1),(B272),0)+IF((D273=1),(B273),0)+IF((D274=1),(B274),0)+IF((D275=1),(B275),0)+IF((D276=1),(B276),0)+IF((D277=1),(B277),0)+IF((D278=1),(B278),0)+IF((D279=1),(B279),0))</f>
        <v>0</v>
      </c>
      <c r="D263" s="4"/>
      <c r="E263" s="6"/>
    </row>
    <row r="264" spans="1:5">
      <c r="A264" s="7" t="s">
        <v>450</v>
      </c>
      <c r="B264" s="8">
        <v>1</v>
      </c>
      <c r="C264" s="8" t="s">
        <v>2</v>
      </c>
      <c r="D264" s="7">
        <v>0</v>
      </c>
      <c r="E264" s="6" t="s">
        <v>451</v>
      </c>
    </row>
    <row r="265" spans="1:5">
      <c r="A265" s="7" t="s">
        <v>452</v>
      </c>
      <c r="B265" s="8">
        <f t="shared" ref="B265:B279" si="14">B264*2</f>
        <v>2</v>
      </c>
      <c r="C265" s="8" t="s">
        <v>5</v>
      </c>
      <c r="D265" s="7">
        <v>0</v>
      </c>
      <c r="E265" s="6"/>
    </row>
    <row r="266" spans="1:5">
      <c r="A266" t="s">
        <v>453</v>
      </c>
      <c r="B266" s="8">
        <f t="shared" si="14"/>
        <v>4</v>
      </c>
      <c r="C266" s="8" t="s">
        <v>8</v>
      </c>
      <c r="D266" s="7">
        <v>0</v>
      </c>
      <c r="E266" s="6" t="s">
        <v>454</v>
      </c>
    </row>
    <row r="267" spans="1:5">
      <c r="A267" s="7" t="s">
        <v>455</v>
      </c>
      <c r="B267" s="8">
        <f t="shared" si="14"/>
        <v>8</v>
      </c>
      <c r="C267" s="8" t="s">
        <v>11</v>
      </c>
      <c r="D267" s="7">
        <v>0</v>
      </c>
      <c r="E267" s="6" t="s">
        <v>456</v>
      </c>
    </row>
    <row r="268" spans="1:5">
      <c r="A268" s="7" t="s">
        <v>457</v>
      </c>
      <c r="B268" s="8">
        <f t="shared" si="14"/>
        <v>16</v>
      </c>
      <c r="C268" s="8" t="s">
        <v>14</v>
      </c>
      <c r="D268" s="7">
        <v>0</v>
      </c>
      <c r="E268" s="6" t="s">
        <v>458</v>
      </c>
    </row>
    <row r="269" spans="1:5">
      <c r="A269" s="7" t="s">
        <v>459</v>
      </c>
      <c r="B269" s="8">
        <f t="shared" si="14"/>
        <v>32</v>
      </c>
      <c r="C269" s="8" t="s">
        <v>16</v>
      </c>
      <c r="D269" s="7">
        <v>0</v>
      </c>
      <c r="E269" s="6"/>
    </row>
    <row r="270" spans="1:5">
      <c r="A270" s="7" t="s">
        <v>460</v>
      </c>
      <c r="B270" s="8">
        <f t="shared" si="14"/>
        <v>64</v>
      </c>
      <c r="C270" s="8" t="s">
        <v>19</v>
      </c>
      <c r="D270" s="7">
        <v>0</v>
      </c>
      <c r="E270" s="6" t="s">
        <v>461</v>
      </c>
    </row>
    <row r="271" spans="1:5">
      <c r="A271" s="7" t="s">
        <v>462</v>
      </c>
      <c r="B271" s="8">
        <f t="shared" si="14"/>
        <v>128</v>
      </c>
      <c r="C271" s="8" t="s">
        <v>22</v>
      </c>
      <c r="D271" s="7">
        <v>0</v>
      </c>
      <c r="E271" s="6" t="s">
        <v>463</v>
      </c>
    </row>
    <row r="272" spans="1:5">
      <c r="A272" s="7" t="s">
        <v>464</v>
      </c>
      <c r="B272" s="8">
        <f t="shared" si="14"/>
        <v>256</v>
      </c>
      <c r="C272" s="8" t="s">
        <v>25</v>
      </c>
      <c r="D272" s="7">
        <v>0</v>
      </c>
      <c r="E272" s="6"/>
    </row>
    <row r="273" spans="1:5">
      <c r="A273" s="7" t="s">
        <v>465</v>
      </c>
      <c r="B273" s="8">
        <f t="shared" si="14"/>
        <v>512</v>
      </c>
      <c r="C273" s="8" t="s">
        <v>28</v>
      </c>
      <c r="D273" s="7">
        <v>0</v>
      </c>
      <c r="E273" s="6" t="s">
        <v>466</v>
      </c>
    </row>
    <row r="274" spans="1:5">
      <c r="A274" s="7" t="s">
        <v>467</v>
      </c>
      <c r="B274" s="8">
        <f t="shared" si="14"/>
        <v>1024</v>
      </c>
      <c r="C274" s="8" t="s">
        <v>31</v>
      </c>
      <c r="D274" s="7">
        <v>0</v>
      </c>
      <c r="E274" s="6"/>
    </row>
    <row r="275" spans="1:5">
      <c r="A275" s="7" t="s">
        <v>468</v>
      </c>
      <c r="B275" s="8">
        <f t="shared" si="14"/>
        <v>2048</v>
      </c>
      <c r="C275" s="8" t="s">
        <v>34</v>
      </c>
      <c r="D275" s="7">
        <v>0</v>
      </c>
      <c r="E275" s="6"/>
    </row>
    <row r="276" spans="1:5">
      <c r="A276" s="7" t="s">
        <v>469</v>
      </c>
      <c r="B276" s="8">
        <f t="shared" si="14"/>
        <v>4096</v>
      </c>
      <c r="C276" s="8" t="s">
        <v>37</v>
      </c>
      <c r="D276" s="7">
        <v>0</v>
      </c>
      <c r="E276" s="6" t="s">
        <v>470</v>
      </c>
    </row>
    <row r="277" spans="1:5">
      <c r="A277" s="7" t="s">
        <v>471</v>
      </c>
      <c r="B277" s="8">
        <f t="shared" si="14"/>
        <v>8192</v>
      </c>
      <c r="C277" s="8" t="s">
        <v>40</v>
      </c>
      <c r="D277" s="7">
        <v>0</v>
      </c>
      <c r="E277" s="6"/>
    </row>
    <row r="278" spans="1:5">
      <c r="A278" s="7" t="s">
        <v>472</v>
      </c>
      <c r="B278" s="8">
        <f t="shared" si="14"/>
        <v>16384</v>
      </c>
      <c r="C278" s="8" t="s">
        <v>43</v>
      </c>
      <c r="D278" s="7">
        <v>0</v>
      </c>
      <c r="E278" s="6"/>
    </row>
    <row r="279" spans="1:5">
      <c r="A279" s="7" t="s">
        <v>473</v>
      </c>
      <c r="B279" s="8">
        <f t="shared" si="14"/>
        <v>32768</v>
      </c>
      <c r="C279" s="8" t="s">
        <v>46</v>
      </c>
      <c r="D279" s="7">
        <v>0</v>
      </c>
      <c r="E279" s="6" t="s">
        <v>474</v>
      </c>
    </row>
    <row r="281" spans="1:5">
      <c r="A281" s="4" t="s">
        <v>475</v>
      </c>
      <c r="B281" s="5"/>
      <c r="C281" s="5" t="str">
        <f>DEC2HEX(IF((D282=1),(B282),0)+IF((D283=1),(B283),0)+IF((D284=1),(B284),0)+IF((D285=1),(B285),0)+IF((D286=1),(B286),0)+IF((D287=1),(B287),0)+IF((D288=1),(B288),0)+IF((D289=1),(B289),0)+IF((D290=1),(B290),0)+IF((D291=1),(B291),0)+IF((D292=1),(B292),0)+IF((D293=1),(B293),0)+IF((D294=1),(B294),0)+IF((D295=1),(B295),0)+IF((D296=1),(B296),0)+IF((D297=1),(B297),0))</f>
        <v>0</v>
      </c>
      <c r="D281" s="4"/>
      <c r="E281" s="6"/>
    </row>
    <row r="282" spans="1:5">
      <c r="A282" s="7" t="s">
        <v>476</v>
      </c>
      <c r="B282" s="8">
        <v>1</v>
      </c>
      <c r="C282" s="8" t="s">
        <v>2</v>
      </c>
      <c r="D282" s="7">
        <v>0</v>
      </c>
      <c r="E282" s="6"/>
    </row>
    <row r="283" spans="1:5">
      <c r="A283" s="7" t="s">
        <v>477</v>
      </c>
      <c r="B283" s="8">
        <f t="shared" ref="B283:B297" si="15">B282*2</f>
        <v>2</v>
      </c>
      <c r="C283" s="8" t="s">
        <v>5</v>
      </c>
      <c r="D283" s="7">
        <v>0</v>
      </c>
      <c r="E283" s="6" t="s">
        <v>478</v>
      </c>
    </row>
    <row r="284" spans="1:5">
      <c r="A284" t="s">
        <v>479</v>
      </c>
      <c r="B284" s="8">
        <f t="shared" si="15"/>
        <v>4</v>
      </c>
      <c r="C284" s="8" t="s">
        <v>8</v>
      </c>
      <c r="D284" s="7">
        <v>0</v>
      </c>
      <c r="E284" s="6" t="s">
        <v>480</v>
      </c>
    </row>
    <row r="285" spans="1:5">
      <c r="A285" s="7" t="s">
        <v>481</v>
      </c>
      <c r="B285" s="8">
        <f t="shared" si="15"/>
        <v>8</v>
      </c>
      <c r="C285" s="8" t="s">
        <v>11</v>
      </c>
      <c r="D285" s="7">
        <v>0</v>
      </c>
      <c r="E285" s="6"/>
    </row>
    <row r="286" spans="1:5">
      <c r="A286" s="7" t="s">
        <v>482</v>
      </c>
      <c r="B286" s="8">
        <f t="shared" si="15"/>
        <v>16</v>
      </c>
      <c r="C286" s="8" t="s">
        <v>14</v>
      </c>
      <c r="D286" s="7">
        <v>0</v>
      </c>
      <c r="E286" s="6" t="s">
        <v>483</v>
      </c>
    </row>
    <row r="287" spans="1:5">
      <c r="A287" s="7" t="s">
        <v>484</v>
      </c>
      <c r="B287" s="8">
        <f t="shared" si="15"/>
        <v>32</v>
      </c>
      <c r="C287" s="8" t="s">
        <v>16</v>
      </c>
      <c r="D287" s="7">
        <v>0</v>
      </c>
      <c r="E287" s="6"/>
    </row>
    <row r="288" spans="1:5">
      <c r="A288" s="7" t="s">
        <v>485</v>
      </c>
      <c r="B288" s="8">
        <f t="shared" si="15"/>
        <v>64</v>
      </c>
      <c r="C288" s="8" t="s">
        <v>19</v>
      </c>
      <c r="D288" s="7">
        <v>0</v>
      </c>
      <c r="E288" s="6"/>
    </row>
    <row r="289" spans="1:5">
      <c r="A289" s="7" t="s">
        <v>486</v>
      </c>
      <c r="B289" s="8">
        <f t="shared" si="15"/>
        <v>128</v>
      </c>
      <c r="C289" s="8" t="s">
        <v>22</v>
      </c>
      <c r="D289" s="7">
        <v>0</v>
      </c>
      <c r="E289" s="6"/>
    </row>
    <row r="290" spans="1:5">
      <c r="A290" s="7" t="s">
        <v>487</v>
      </c>
      <c r="B290" s="8">
        <f t="shared" si="15"/>
        <v>256</v>
      </c>
      <c r="C290" s="8" t="s">
        <v>25</v>
      </c>
      <c r="D290" s="7">
        <v>0</v>
      </c>
      <c r="E290" s="6"/>
    </row>
    <row r="291" spans="1:5">
      <c r="A291" s="7" t="s">
        <v>488</v>
      </c>
      <c r="B291" s="8">
        <f t="shared" si="15"/>
        <v>512</v>
      </c>
      <c r="C291" s="8" t="s">
        <v>28</v>
      </c>
      <c r="D291" s="7">
        <v>0</v>
      </c>
      <c r="E291" s="6"/>
    </row>
    <row r="292" spans="1:5">
      <c r="A292" s="7" t="s">
        <v>489</v>
      </c>
      <c r="B292" s="8">
        <f t="shared" si="15"/>
        <v>1024</v>
      </c>
      <c r="C292" s="8" t="s">
        <v>31</v>
      </c>
      <c r="D292" s="7">
        <v>0</v>
      </c>
      <c r="E292" s="6" t="s">
        <v>490</v>
      </c>
    </row>
    <row r="293" spans="1:5">
      <c r="A293" s="7" t="s">
        <v>491</v>
      </c>
      <c r="B293" s="8">
        <f t="shared" si="15"/>
        <v>2048</v>
      </c>
      <c r="C293" s="8" t="s">
        <v>34</v>
      </c>
      <c r="D293" s="7">
        <v>0</v>
      </c>
      <c r="E293" s="6" t="s">
        <v>492</v>
      </c>
    </row>
    <row r="294" spans="1:5">
      <c r="A294" s="7" t="s">
        <v>493</v>
      </c>
      <c r="B294" s="8">
        <f t="shared" si="15"/>
        <v>4096</v>
      </c>
      <c r="C294" s="8" t="s">
        <v>37</v>
      </c>
      <c r="D294" s="7">
        <v>0</v>
      </c>
      <c r="E294" s="6"/>
    </row>
    <row r="295" s="1" customFormat="1" spans="1:5">
      <c r="A295" s="10" t="s">
        <v>494</v>
      </c>
      <c r="B295" s="8">
        <f t="shared" si="15"/>
        <v>8192</v>
      </c>
      <c r="C295" s="11" t="s">
        <v>40</v>
      </c>
      <c r="D295" s="7">
        <v>0</v>
      </c>
      <c r="E295" s="12"/>
    </row>
    <row r="296" spans="1:5">
      <c r="A296" s="7" t="s">
        <v>495</v>
      </c>
      <c r="B296" s="8">
        <f t="shared" si="15"/>
        <v>16384</v>
      </c>
      <c r="C296" s="8" t="s">
        <v>43</v>
      </c>
      <c r="D296" s="7">
        <v>0</v>
      </c>
      <c r="E296" s="6"/>
    </row>
    <row r="297" spans="1:5">
      <c r="A297" s="7" t="s">
        <v>496</v>
      </c>
      <c r="B297" s="8">
        <f t="shared" si="15"/>
        <v>32768</v>
      </c>
      <c r="C297" s="8" t="s">
        <v>46</v>
      </c>
      <c r="D297" s="7">
        <v>0</v>
      </c>
      <c r="E297" s="6"/>
    </row>
    <row r="299" spans="1:5">
      <c r="A299" s="4" t="s">
        <v>497</v>
      </c>
      <c r="B299" s="5"/>
      <c r="C299" s="5" t="str">
        <f>DEC2HEX(IF((D300=1),(B300),0)+IF((D301=1),(B301),0)+IF((D302=1),(B302),0)+IF((D303=1),(B303),0)+IF((D304=1),(B304),0)+IF((D305=1),(B305),0)+IF((D306=1),(B306),0)+IF((D307=1),(B307),0)+IF((D308=1),(B308),0)+IF((D309=1),(B309),0)+IF((D310=1),(B310),0)+IF((D311=1),(B311),0)+IF((D312=1),(B312),0))</f>
        <v>20</v>
      </c>
      <c r="D299" s="4"/>
      <c r="E299" s="6"/>
    </row>
    <row r="300" spans="1:5">
      <c r="A300" s="7" t="s">
        <v>498</v>
      </c>
      <c r="B300" s="8">
        <v>1</v>
      </c>
      <c r="C300" s="8" t="s">
        <v>2</v>
      </c>
      <c r="D300" s="7">
        <v>0</v>
      </c>
      <c r="E300" s="6"/>
    </row>
    <row r="301" spans="1:5">
      <c r="A301" s="7" t="s">
        <v>499</v>
      </c>
      <c r="B301" s="8">
        <f t="shared" ref="B301:B312" si="16">B300*2</f>
        <v>2</v>
      </c>
      <c r="C301" s="8" t="s">
        <v>5</v>
      </c>
      <c r="D301" s="7">
        <v>0</v>
      </c>
      <c r="E301" s="6"/>
    </row>
    <row r="302" spans="1:5">
      <c r="A302" t="s">
        <v>500</v>
      </c>
      <c r="B302" s="8">
        <f t="shared" si="16"/>
        <v>4</v>
      </c>
      <c r="C302" s="8" t="s">
        <v>8</v>
      </c>
      <c r="D302" s="7">
        <v>0</v>
      </c>
      <c r="E302" s="6" t="s">
        <v>501</v>
      </c>
    </row>
    <row r="303" spans="1:5">
      <c r="A303" s="7" t="s">
        <v>502</v>
      </c>
      <c r="B303" s="8">
        <f t="shared" si="16"/>
        <v>8</v>
      </c>
      <c r="C303" s="8" t="s">
        <v>11</v>
      </c>
      <c r="D303" s="7">
        <v>0</v>
      </c>
      <c r="E303" s="6"/>
    </row>
    <row r="304" spans="1:5">
      <c r="A304" s="7" t="s">
        <v>503</v>
      </c>
      <c r="B304" s="8">
        <f t="shared" si="16"/>
        <v>16</v>
      </c>
      <c r="C304" s="8" t="s">
        <v>14</v>
      </c>
      <c r="D304" s="7">
        <v>0</v>
      </c>
      <c r="E304" s="6"/>
    </row>
    <row r="305" spans="1:5">
      <c r="A305" s="7" t="s">
        <v>504</v>
      </c>
      <c r="B305" s="8">
        <f t="shared" si="16"/>
        <v>32</v>
      </c>
      <c r="C305" s="8" t="s">
        <v>16</v>
      </c>
      <c r="D305" s="9">
        <v>1</v>
      </c>
      <c r="E305" s="6" t="s">
        <v>505</v>
      </c>
    </row>
    <row r="306" spans="1:5">
      <c r="A306" s="7" t="s">
        <v>506</v>
      </c>
      <c r="B306" s="8">
        <f t="shared" si="16"/>
        <v>64</v>
      </c>
      <c r="C306" s="8" t="s">
        <v>19</v>
      </c>
      <c r="D306" s="7">
        <v>0</v>
      </c>
      <c r="E306" s="6" t="s">
        <v>507</v>
      </c>
    </row>
    <row r="307" spans="1:5">
      <c r="A307" s="7" t="s">
        <v>508</v>
      </c>
      <c r="B307" s="8">
        <f t="shared" si="16"/>
        <v>128</v>
      </c>
      <c r="C307" s="8" t="s">
        <v>22</v>
      </c>
      <c r="D307" s="7">
        <v>0</v>
      </c>
      <c r="E307" s="6" t="s">
        <v>509</v>
      </c>
    </row>
    <row r="308" spans="1:5">
      <c r="A308" s="7" t="s">
        <v>510</v>
      </c>
      <c r="B308" s="8">
        <f t="shared" si="16"/>
        <v>256</v>
      </c>
      <c r="C308" s="8" t="s">
        <v>25</v>
      </c>
      <c r="D308" s="7">
        <v>0</v>
      </c>
      <c r="E308" s="6"/>
    </row>
    <row r="309" spans="1:5">
      <c r="A309" s="7" t="s">
        <v>511</v>
      </c>
      <c r="B309" s="8">
        <f t="shared" si="16"/>
        <v>512</v>
      </c>
      <c r="C309" s="8" t="s">
        <v>28</v>
      </c>
      <c r="D309" s="7">
        <v>0</v>
      </c>
      <c r="E309" s="6"/>
    </row>
    <row r="310" spans="1:5">
      <c r="A310" s="7" t="s">
        <v>512</v>
      </c>
      <c r="B310" s="8">
        <f t="shared" si="16"/>
        <v>1024</v>
      </c>
      <c r="C310" s="8" t="s">
        <v>31</v>
      </c>
      <c r="D310" s="7">
        <v>0</v>
      </c>
      <c r="E310" s="6"/>
    </row>
    <row r="311" spans="1:5">
      <c r="A311" s="7" t="s">
        <v>513</v>
      </c>
      <c r="B311" s="8">
        <f t="shared" si="16"/>
        <v>2048</v>
      </c>
      <c r="C311" s="8" t="s">
        <v>34</v>
      </c>
      <c r="D311" s="7">
        <v>0</v>
      </c>
      <c r="E311" s="6"/>
    </row>
    <row r="312" spans="1:5">
      <c r="A312" s="7" t="s">
        <v>514</v>
      </c>
      <c r="B312" s="8">
        <f t="shared" si="16"/>
        <v>4096</v>
      </c>
      <c r="C312" s="8" t="s">
        <v>37</v>
      </c>
      <c r="D312" s="7">
        <v>0</v>
      </c>
      <c r="E312" s="6"/>
    </row>
    <row r="314" spans="1:5">
      <c r="A314" s="4" t="s">
        <v>515</v>
      </c>
      <c r="B314" s="5"/>
      <c r="C314" s="5" t="str">
        <f>DEC2HEX(IF((D315=1),(B315),0)+IF((D316=1),(B316),0)+IF((D317=1),(B317),0)+IF((D318=1),(B318),0)+IF((D319=1),(B319),0)+IF((D320=1),(B320),0)+IF((D321=1),(B321),0)+IF((D322=1),(B322),0)+IF((D323=1),(B323),0)+IF((D324=1),(B324),0)+IF((D325=1),(B325),0)+IF((D326=1),(B326),0)+IF((D327=1),(B327),0))</f>
        <v>0</v>
      </c>
      <c r="D314" s="4"/>
      <c r="E314" s="6"/>
    </row>
    <row r="315" spans="1:5">
      <c r="A315" s="7" t="s">
        <v>516</v>
      </c>
      <c r="B315" s="8">
        <v>1</v>
      </c>
      <c r="C315" s="8" t="s">
        <v>2</v>
      </c>
      <c r="D315" s="7">
        <v>0</v>
      </c>
      <c r="E315" s="6" t="s">
        <v>517</v>
      </c>
    </row>
    <row r="316" spans="1:5">
      <c r="A316" s="7" t="s">
        <v>518</v>
      </c>
      <c r="B316" s="8">
        <f t="shared" ref="B316:B325" si="17">B315*2</f>
        <v>2</v>
      </c>
      <c r="C316" s="8" t="s">
        <v>5</v>
      </c>
      <c r="D316" s="7">
        <v>0</v>
      </c>
      <c r="E316" s="6" t="s">
        <v>519</v>
      </c>
    </row>
    <row r="317" spans="1:5">
      <c r="A317" t="s">
        <v>520</v>
      </c>
      <c r="B317" s="8">
        <f t="shared" si="17"/>
        <v>4</v>
      </c>
      <c r="C317" s="8" t="s">
        <v>8</v>
      </c>
      <c r="D317" s="7">
        <v>0</v>
      </c>
      <c r="E317" s="6" t="s">
        <v>521</v>
      </c>
    </row>
    <row r="318" spans="1:5">
      <c r="A318" s="7" t="s">
        <v>522</v>
      </c>
      <c r="B318" s="8">
        <f t="shared" si="17"/>
        <v>8</v>
      </c>
      <c r="C318" s="8" t="s">
        <v>11</v>
      </c>
      <c r="D318" s="7">
        <v>0</v>
      </c>
      <c r="E318" s="6" t="s">
        <v>523</v>
      </c>
    </row>
    <row r="319" spans="1:5">
      <c r="A319" s="7" t="s">
        <v>524</v>
      </c>
      <c r="B319" s="8">
        <f t="shared" si="17"/>
        <v>16</v>
      </c>
      <c r="C319" s="8" t="s">
        <v>14</v>
      </c>
      <c r="D319" s="7">
        <v>0</v>
      </c>
      <c r="E319" s="6" t="s">
        <v>525</v>
      </c>
    </row>
    <row r="320" spans="1:5">
      <c r="A320" s="7" t="s">
        <v>526</v>
      </c>
      <c r="B320" s="8">
        <f t="shared" si="17"/>
        <v>32</v>
      </c>
      <c r="C320" s="8" t="s">
        <v>16</v>
      </c>
      <c r="D320" s="7">
        <v>0</v>
      </c>
      <c r="E320" s="6" t="s">
        <v>527</v>
      </c>
    </row>
    <row r="321" spans="1:5">
      <c r="A321" s="7" t="s">
        <v>528</v>
      </c>
      <c r="B321" s="8">
        <f t="shared" si="17"/>
        <v>64</v>
      </c>
      <c r="C321" s="8" t="s">
        <v>19</v>
      </c>
      <c r="D321" s="7">
        <v>0</v>
      </c>
      <c r="E321" s="6" t="s">
        <v>529</v>
      </c>
    </row>
    <row r="322" spans="1:5">
      <c r="A322" s="7" t="s">
        <v>530</v>
      </c>
      <c r="B322" s="8">
        <f t="shared" si="17"/>
        <v>128</v>
      </c>
      <c r="C322" s="8" t="s">
        <v>22</v>
      </c>
      <c r="D322" s="7">
        <v>0</v>
      </c>
      <c r="E322" s="6" t="s">
        <v>531</v>
      </c>
    </row>
    <row r="323" spans="1:5">
      <c r="A323" s="7" t="s">
        <v>532</v>
      </c>
      <c r="B323" s="8">
        <f t="shared" si="17"/>
        <v>256</v>
      </c>
      <c r="C323" s="8" t="s">
        <v>25</v>
      </c>
      <c r="D323" s="7">
        <v>0</v>
      </c>
      <c r="E323" s="6" t="s">
        <v>533</v>
      </c>
    </row>
    <row r="324" spans="1:5">
      <c r="A324" s="7" t="s">
        <v>534</v>
      </c>
      <c r="B324" s="8">
        <f t="shared" si="17"/>
        <v>512</v>
      </c>
      <c r="C324" s="8" t="s">
        <v>28</v>
      </c>
      <c r="D324" s="7">
        <v>0</v>
      </c>
      <c r="E324" s="6" t="s">
        <v>535</v>
      </c>
    </row>
    <row r="325" spans="1:5">
      <c r="A325" s="7" t="s">
        <v>536</v>
      </c>
      <c r="B325" s="8">
        <f t="shared" si="17"/>
        <v>1024</v>
      </c>
      <c r="C325" s="8" t="s">
        <v>31</v>
      </c>
      <c r="D325" s="7">
        <v>0</v>
      </c>
      <c r="E325" s="6" t="s">
        <v>537</v>
      </c>
    </row>
  </sheetData>
  <conditionalFormatting sqref="E125">
    <cfRule type="cellIs" dxfId="0" priority="23" operator="equal">
      <formula>"无"</formula>
    </cfRule>
  </conditionalFormatting>
  <conditionalFormatting sqref="E152">
    <cfRule type="cellIs" dxfId="0" priority="18" operator="equal">
      <formula>"无"</formula>
    </cfRule>
  </conditionalFormatting>
  <conditionalFormatting sqref="E170">
    <cfRule type="cellIs" dxfId="0" priority="17" operator="equal">
      <formula>"无"</formula>
    </cfRule>
  </conditionalFormatting>
  <conditionalFormatting sqref="E188">
    <cfRule type="cellIs" dxfId="0" priority="16" operator="equal">
      <formula>"无"</formula>
    </cfRule>
  </conditionalFormatting>
  <conditionalFormatting sqref="E195">
    <cfRule type="cellIs" dxfId="0" priority="14" operator="equal">
      <formula>"无"</formula>
    </cfRule>
  </conditionalFormatting>
  <conditionalFormatting sqref="E206">
    <cfRule type="cellIs" dxfId="0" priority="15" operator="equal">
      <formula>"无"</formula>
    </cfRule>
  </conditionalFormatting>
  <conditionalFormatting sqref="E213">
    <cfRule type="cellIs" dxfId="0" priority="12" operator="equal">
      <formula>"无"</formula>
    </cfRule>
  </conditionalFormatting>
  <conditionalFormatting sqref="E224">
    <cfRule type="cellIs" dxfId="0" priority="13" operator="equal">
      <formula>"无"</formula>
    </cfRule>
  </conditionalFormatting>
  <conditionalFormatting sqref="E231">
    <cfRule type="cellIs" dxfId="0" priority="10" operator="equal">
      <formula>"无"</formula>
    </cfRule>
  </conditionalFormatting>
  <conditionalFormatting sqref="E242">
    <cfRule type="cellIs" dxfId="0" priority="11" operator="equal">
      <formula>"无"</formula>
    </cfRule>
  </conditionalFormatting>
  <dataValidations count="2">
    <dataValidation allowBlank="1" showInputMessage="1" showErrorMessage="1" sqref="B21 B39 B57 B75 B93 B111 B138 B156 B174 B192 B210 B228 B246 B264 B282 B300 B315 B1:B3 B4:B18 B19:B20 B22:B36 B37:B38 B40:B54 B55:B56 B58:B72 B73:B74 B76:B90 B91:B92 B94:B108 B109:B110 B112:B126 B127:B137 B139:B153 B154:B155 B157:B171 B172:B173 B175:B189 B190:B191 B193:B207 B208:B209 B211:B225 B226:B227 B229:B243 B244:B245 B247:B261 B262:B263 B265:B279 B280:B281 B283:B297 B298:B299 B301:B312 B313:B314 B316:B323 B324:B325 B326:B65536"/>
    <dataValidation type="list" allowBlank="1" showInputMessage="1" showErrorMessage="1" sqref="D1:D323 D324:D325 D326:D65536">
      <formula1>"0,1"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SM-G9810</dc:creator>
  <cp:lastModifiedBy>拓</cp:lastModifiedBy>
  <dcterms:created xsi:type="dcterms:W3CDTF">2020-04-02T04:19:00Z</dcterms:created>
  <dcterms:modified xsi:type="dcterms:W3CDTF">2022-03-01T03:11:13Z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a288672876bc4dc5891f4ee8a9e0286f</vt:lpwstr>
  </property>
</Properties>
</file>